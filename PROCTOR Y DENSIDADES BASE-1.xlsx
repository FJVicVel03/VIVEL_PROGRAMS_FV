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rna\OneDrive\Desktop\PROYECTOS\HUGO OROZCO\33.-VILLANUEVA EL QUETZAL S.M\"/>
    </mc:Choice>
  </mc:AlternateContent>
  <xr:revisionPtr revIDLastSave="0" documentId="13_ncr:1_{6F1A4A6F-780E-4924-AB8F-234ACAC456FB}" xr6:coauthVersionLast="47" xr6:coauthVersionMax="47" xr10:uidLastSave="{00000000-0000-0000-0000-000000000000}"/>
  <bookViews>
    <workbookView xWindow="60" yWindow="30" windowWidth="28740" windowHeight="15450" activeTab="3" xr2:uid="{00000000-000D-0000-FFFF-FFFF00000000}"/>
  </bookViews>
  <sheets>
    <sheet name="INFORME1 (2)" sheetId="1" r:id="rId1"/>
    <sheet name="INFORME" sheetId="2" r:id="rId2"/>
    <sheet name="PROCTOR" sheetId="3" r:id="rId3"/>
    <sheet name="DENSIDADES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v1">#REF!</definedName>
    <definedName name="_PR100" localSheetId="0">'[1]Soporte Cargas'!$AD$57</definedName>
    <definedName name="_PR100">'[2]Soporte Cargas'!$AD$57</definedName>
    <definedName name="_PR60" localSheetId="0">'[1]Soporte Cargas'!$AD$56</definedName>
    <definedName name="_PR60">'[2]Soporte Cargas'!$AD$56</definedName>
    <definedName name="_v1">#REF!</definedName>
    <definedName name="A" localSheetId="0">Scheduled_Payment+Extra_Payment</definedName>
    <definedName name="A">Scheduled_Payment+Extra_Payment</definedName>
    <definedName name="A_impresión_IM">#REF!</definedName>
    <definedName name="AA" localSheetId="0">Scheduled_Payment+Extra_Payment</definedName>
    <definedName name="AA">Scheduled_Payment+Extra_Payment</definedName>
    <definedName name="Adherencia">#REF!</definedName>
    <definedName name="_xlnm.Print_Area" localSheetId="3">DENSIDADES!$A$1:$G$42</definedName>
    <definedName name="_xlnm.Print_Area" localSheetId="1">INFORME!$A$1:$I$37</definedName>
    <definedName name="_xlnm.Print_Area" localSheetId="0">'INFORME1 (2)'!$A$1:$J$42</definedName>
    <definedName name="_xlnm.Print_Area" localSheetId="2">PROCTOR!$A$1:$AK$58</definedName>
    <definedName name="b">#REF!</definedName>
    <definedName name="BA">#REF!</definedName>
    <definedName name="Beg_Bal">#REF!</definedName>
    <definedName name="Boulevard">#REF!</definedName>
    <definedName name="bR" localSheetId="0">Scheduled_Payment+Extra_Payment</definedName>
    <definedName name="bR">Scheduled_Payment+Extra_Payment</definedName>
    <definedName name="Bulk">#REF!</definedName>
    <definedName name="Danilo">#REF!</definedName>
    <definedName name="dasdsd">#REF!</definedName>
    <definedName name="Data">#REF!</definedName>
    <definedName name="dato2">#REF!,#REF!,#REF!,#REF!,#REF!,#REF!,#REF!</definedName>
    <definedName name="Datos01">'[3]Planilla de Cálculo'!$E$5:$M$7,'[3]Planilla de Cálculo'!$R$5:$T$7,'[3]Planilla de Cálculo'!$H$8,'[3]Planilla de Cálculo'!$H$10:$I$16,'[3]Planilla de Cálculo'!$I$20:$T$22,'[3]Planilla de Cálculo'!$I$24:$T$24,'[3]Planilla de Cálculo'!$I$28:$T$29</definedName>
    <definedName name="dd">#REF!</definedName>
    <definedName name="DMax" localSheetId="0">'[1]Soporte Cargas'!$H$42</definedName>
    <definedName name="DMax">'[2]Soporte Cargas'!$H$42</definedName>
    <definedName name="dotrop">#REF!</definedName>
    <definedName name="ee">#REF!</definedName>
    <definedName name="Efect">#REF!</definedName>
    <definedName name="Ejemplo_cajetin" localSheetId="0">Scheduled_Payment+Extra_Payment</definedName>
    <definedName name="Ejemplo_cajetin">Scheduled_Payment+Extra_Payment</definedName>
    <definedName name="End_Bal">#REF!</definedName>
    <definedName name="Extra_Pay">#REF!</definedName>
    <definedName name="Full_Print">#REF!</definedName>
    <definedName name="g">#REF!</definedName>
    <definedName name="GAG">#REF!</definedName>
    <definedName name="GCA">#REF!</definedName>
    <definedName name="gfcd">#REF!</definedName>
    <definedName name="gg">#REF!</definedName>
    <definedName name="GRANU">#REF!</definedName>
    <definedName name="Header_Row">ROW(#REF!)</definedName>
    <definedName name="HTML_CodePage">1252</definedName>
    <definedName name="HTML_Control">{"'Análisis Granulométrico '!$A$6:$C$10"}</definedName>
    <definedName name="HTML_Description">""</definedName>
    <definedName name="HTML_Email">""</definedName>
    <definedName name="HTML_Header">"Análisis Granulométrico"</definedName>
    <definedName name="HTML_LastUpdate">"02/02/2005"</definedName>
    <definedName name="HTML_LineAfter">FALSE</definedName>
    <definedName name="HTML_LineBefore">FALSE</definedName>
    <definedName name="HTML_Name">"Laboratorio de Hormingón"</definedName>
    <definedName name="HTML_OBDlg2">TRUE</definedName>
    <definedName name="HTML_OBDlg4">TRUE</definedName>
    <definedName name="HTML_OS">0</definedName>
    <definedName name="HTML_PathFile">"D:\04-05 Repavimentacion\HTML10.htm"</definedName>
    <definedName name="HTML_Title">"Planillas SMA10 E C-"</definedName>
    <definedName name="I_CBR_D_C">[4]Espesor!$F$10:$F$1292</definedName>
    <definedName name="I_CBR_D_D">[4]Espesor!$G$10:$G$1292</definedName>
    <definedName name="I_CBR_D_I">[4]Espesor!$E$10:$E$1292</definedName>
    <definedName name="I_CBR_I_C">[4]Espesor!$C$10:$C$1292</definedName>
    <definedName name="I_CBR_I_D">[4]Espesor!$D$10:$D$1292</definedName>
    <definedName name="I_CBR_I_I">[4]Espesor!$B$10:$B$1292</definedName>
    <definedName name="I_CBR_min">[4]Espesor!$H$10:$H$1292</definedName>
    <definedName name="I_CBR_STA">[4]Espesor!$A$10:$A$1292</definedName>
    <definedName name="II_CBR_D_C">[4]Espesor!$F$1292:$F$2162</definedName>
    <definedName name="II_CBR_D_D">[4]Espesor!$G$1292:$G$2162</definedName>
    <definedName name="II_CBR_D_I">[4]Espesor!$E$1292:$E$2162</definedName>
    <definedName name="II_CBR_I_C">[4]Espesor!$C$1292:$C$2162</definedName>
    <definedName name="II_CBR_I_D">[4]Espesor!$D$1292:$D$2162</definedName>
    <definedName name="II_CBR_I_I">[4]Espesor!$B$1292:$B$2162</definedName>
    <definedName name="II_CBR_min">[4]Espesor!$H$1292:$H$2162</definedName>
    <definedName name="II_CBR_STA">[4]Espesor!$A$1292:$A$2162</definedName>
    <definedName name="Int">#REF!</definedName>
    <definedName name="Interest_Rate">#REF!</definedName>
    <definedName name="j">#REF!</definedName>
    <definedName name="Last_Row">#REF!</definedName>
    <definedName name="LAUREN">#REF!</definedName>
    <definedName name="Loan_Amount">#REF!</definedName>
    <definedName name="Loan_Start">#REF!</definedName>
    <definedName name="Loan_Years">#REF!</definedName>
    <definedName name="mariel" localSheetId="0">DATE(YEAR([0]!Loan_Start),MONTH([0]!Loan_Start)+Payment_Number,DAY([0]!Loan_Start))</definedName>
    <definedName name="mariel">DATE(YEAR(Loan_Start),MONTH(Loan_Start)+Payment_Number,DAY(Loan_Start))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ayment_Needed">"Pago necesario"</definedName>
    <definedName name="PEAgg">#REF!</definedName>
    <definedName name="Peso" localSheetId="0">'[5]Proctor 1'!$I$21</definedName>
    <definedName name="Peso">'[6]Proctor 1'!$I$21</definedName>
    <definedName name="Planas">#REF!</definedName>
    <definedName name="pp">#REF!</definedName>
    <definedName name="PPrueba">#REF!</definedName>
    <definedName name="Princ">#REF!</definedName>
    <definedName name="Print_Area_Reset">OFFSET(Full_Print,0,0,Last_Row)</definedName>
    <definedName name="PSeco" localSheetId="0">#REF!</definedName>
    <definedName name="PSeco" localSheetId="2">#REF!</definedName>
    <definedName name="PSeco">#REF!</definedName>
    <definedName name="RBulk">#REF!</definedName>
    <definedName name="Reimbursement">"Reembolso"</definedName>
    <definedName name="Remanente">#REF!</definedName>
    <definedName name="rer">#REF!</definedName>
    <definedName name="RTI">#REF!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R">#REF!</definedName>
    <definedName name="Solis">#REF!</definedName>
    <definedName name="SS">#REF!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" localSheetId="0">Scheduled_Payment+Extra_Payment</definedName>
    <definedName name="v">Scheduled_Payment+Extra_Payment</definedName>
    <definedName name="Values_Entered">IF(Loan_Amount*Interest_Rate*Loan_Years*Loan_Start&gt;0,1,0)</definedName>
    <definedName name="Vol" localSheetId="0">'[5]Proctor 1'!$E$21</definedName>
    <definedName name="Vol">'[6]Proctor 1'!$E$21</definedName>
    <definedName name="we">#REF!</definedName>
    <definedName name="x">#REF!</definedName>
    <definedName name="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WY+dJQggssrvISCx2UwFWwcUG5Eb8TkVO+0ozDj0jqw="/>
    </ext>
  </extLst>
</workbook>
</file>

<file path=xl/calcChain.xml><?xml version="1.0" encoding="utf-8"?>
<calcChain xmlns="http://schemas.openxmlformats.org/spreadsheetml/2006/main">
  <c r="G8" i="1" l="1"/>
  <c r="C8" i="2"/>
  <c r="D20" i="4"/>
  <c r="E16" i="4"/>
  <c r="D16" i="4"/>
  <c r="I22" i="2"/>
  <c r="G22" i="2"/>
  <c r="E12" i="4"/>
  <c r="E17" i="4"/>
  <c r="E21" i="4" s="1"/>
  <c r="E18" i="4"/>
  <c r="E20" i="4" s="1"/>
  <c r="E22" i="4" s="1"/>
  <c r="E24" i="4" s="1"/>
  <c r="E27" i="4"/>
  <c r="M18" i="4" a="1"/>
  <c r="M18" i="4" s="1"/>
  <c r="M18" i="2" a="1"/>
  <c r="M18" i="2"/>
  <c r="C6" i="2"/>
  <c r="C5" i="2"/>
  <c r="E28" i="4" l="1"/>
  <c r="E30" i="4" s="1"/>
  <c r="G19" i="2"/>
  <c r="A27" i="2"/>
  <c r="C2" i="2"/>
  <c r="J3" i="3" s="1"/>
  <c r="B1" i="1"/>
  <c r="D18" i="4"/>
  <c r="D27" i="4"/>
  <c r="A5" i="4"/>
  <c r="AF44" i="3"/>
  <c r="AN29" i="3"/>
  <c r="AH27" i="3"/>
  <c r="AN32" i="3" s="1"/>
  <c r="Z27" i="3"/>
  <c r="AN30" i="3" s="1"/>
  <c r="R27" i="3"/>
  <c r="AN28" i="3" s="1"/>
  <c r="AH25" i="3"/>
  <c r="AH31" i="3" s="1"/>
  <c r="V25" i="3"/>
  <c r="V31" i="3" s="1"/>
  <c r="Z25" i="3"/>
  <c r="Z31" i="3" s="1"/>
  <c r="R25" i="3"/>
  <c r="R31" i="3" s="1"/>
  <c r="AH22" i="3"/>
  <c r="Z21" i="3"/>
  <c r="AD21" i="3" s="1"/>
  <c r="V21" i="3"/>
  <c r="R21" i="3"/>
  <c r="AH20" i="3"/>
  <c r="AH23" i="3" s="1"/>
  <c r="V18" i="3"/>
  <c r="J10" i="3"/>
  <c r="C7" i="4" s="1"/>
  <c r="D12" i="4" s="1"/>
  <c r="B7" i="3"/>
  <c r="D22" i="2"/>
  <c r="A22" i="2"/>
  <c r="I19" i="2"/>
  <c r="D19" i="2"/>
  <c r="A19" i="2"/>
  <c r="C7" i="2"/>
  <c r="J8" i="3" s="1"/>
  <c r="J7" i="3"/>
  <c r="J6" i="3"/>
  <c r="D32" i="4" l="1"/>
  <c r="E32" i="4"/>
  <c r="V32" i="3"/>
  <c r="AO29" i="3" s="1"/>
  <c r="AF41" i="3"/>
  <c r="C6" i="4"/>
  <c r="C2" i="4"/>
  <c r="C34" i="4"/>
  <c r="C5" i="4"/>
  <c r="C4" i="4"/>
  <c r="Z32" i="3"/>
  <c r="Z33" i="3" s="1"/>
  <c r="R18" i="3"/>
  <c r="N27" i="3"/>
  <c r="N18" i="3" s="1"/>
  <c r="D17" i="4"/>
  <c r="D21" i="4" s="1"/>
  <c r="D22" i="4" s="1"/>
  <c r="D24" i="4" s="1"/>
  <c r="D28" i="4" s="1"/>
  <c r="D30" i="4" s="1"/>
  <c r="N25" i="3"/>
  <c r="N31" i="3" s="1"/>
  <c r="Z18" i="3"/>
  <c r="R32" i="3"/>
  <c r="I14" i="2"/>
  <c r="AH32" i="3"/>
  <c r="AQ42" i="3"/>
  <c r="AD19" i="3"/>
  <c r="AD22" i="3" s="1"/>
  <c r="AD27" i="3"/>
  <c r="AD25" i="3"/>
  <c r="AD31" i="3" s="1"/>
  <c r="AF42" i="3" l="1"/>
  <c r="V33" i="3"/>
  <c r="AO30" i="3"/>
  <c r="N32" i="3"/>
  <c r="AO27" i="3" s="1"/>
  <c r="AN27" i="3"/>
  <c r="V19" i="3"/>
  <c r="V22" i="3" s="1"/>
  <c r="N19" i="3"/>
  <c r="N22" i="3" s="1"/>
  <c r="R19" i="3"/>
  <c r="Z19" i="3"/>
  <c r="Z22" i="3" s="1"/>
  <c r="Z20" i="3"/>
  <c r="Z23" i="3" s="1"/>
  <c r="AO28" i="3"/>
  <c r="R33" i="3"/>
  <c r="AH33" i="3"/>
  <c r="AO32" i="3"/>
  <c r="AF43" i="3"/>
  <c r="AR41" i="3"/>
  <c r="AR42" i="3" s="1"/>
  <c r="I12" i="2"/>
  <c r="AD18" i="3"/>
  <c r="AD20" i="3" s="1"/>
  <c r="AD23" i="3" s="1"/>
  <c r="AN31" i="3"/>
  <c r="AD32" i="3"/>
  <c r="V20" i="3" l="1"/>
  <c r="V23" i="3" s="1"/>
  <c r="N33" i="3"/>
  <c r="I13" i="2"/>
  <c r="D31" i="4"/>
  <c r="D33" i="4" s="1"/>
  <c r="I20" i="2" s="1"/>
  <c r="E31" i="4"/>
  <c r="E33" i="4" s="1"/>
  <c r="I23" i="2" s="1"/>
  <c r="R22" i="3"/>
  <c r="R20" i="3"/>
  <c r="N20" i="3"/>
  <c r="N23" i="3" s="1"/>
  <c r="AD33" i="3"/>
  <c r="AO31" i="3"/>
  <c r="R23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<sst xmlns="http://schemas.openxmlformats.org/spreadsheetml/2006/main" count="144" uniqueCount="114">
  <si>
    <t>Guatemala</t>
  </si>
  <si>
    <t>Atención:</t>
  </si>
  <si>
    <t>.</t>
  </si>
  <si>
    <t>Me dirijo a ustedes deseándoles éxitos en sus labores diarias.</t>
  </si>
  <si>
    <r>
      <rPr>
        <b/>
        <sz val="14"/>
        <color theme="1"/>
        <rFont val="Arial"/>
      </rPr>
      <t>OBSERVACION</t>
    </r>
    <r>
      <rPr>
        <sz val="14"/>
        <color rgb="FF000000"/>
        <rFont val="Arial"/>
      </rPr>
      <t xml:space="preserve">: </t>
    </r>
  </si>
  <si>
    <t>Quedo a sus órdenes para cualquier consulta,</t>
  </si>
  <si>
    <r>
      <rPr>
        <sz val="14"/>
        <color theme="1"/>
        <rFont val="Arial"/>
      </rPr>
      <t>Atentamente,</t>
    </r>
    <r>
      <rPr>
        <sz val="14"/>
        <color rgb="FF000000"/>
        <rFont val="Times New Roman"/>
      </rPr>
      <t xml:space="preserve"> </t>
    </r>
  </si>
  <si>
    <t>Realizó:</t>
  </si>
  <si>
    <t>Vo. Bo.</t>
  </si>
  <si>
    <t>Noé Vicente Dubón</t>
  </si>
  <si>
    <t>ANALISIS DE LABORATORIO Y CONTROL DE CALIDAD</t>
  </si>
  <si>
    <t>MULTISERVICIOS VIVEL</t>
  </si>
  <si>
    <t>Interesado:</t>
  </si>
  <si>
    <t>Empresa Ejecutora:</t>
  </si>
  <si>
    <t>Proyecto:</t>
  </si>
  <si>
    <t>Fecha de Informe:</t>
  </si>
  <si>
    <t>Area de Trabajo:</t>
  </si>
  <si>
    <t>BASE GRANULAR</t>
  </si>
  <si>
    <t>SE TRABAJARON LOS ANALISIS  OBTENIENDO LOS SIGUIENTES RESULTADOS</t>
  </si>
  <si>
    <t>PROCTOR MODIFICADO</t>
  </si>
  <si>
    <t>PUS. MAX Kg/m³</t>
  </si>
  <si>
    <t>PUS. MAX  lbs/pie³</t>
  </si>
  <si>
    <t>% H. Òptima</t>
  </si>
  <si>
    <t>DENSIDADES DE CAMPO</t>
  </si>
  <si>
    <t>FECHA DE CHEQUEO</t>
  </si>
  <si>
    <t>AREA DE TRABAJO</t>
  </si>
  <si>
    <t>% De Humedad de campo</t>
  </si>
  <si>
    <t>% de compactaciòn</t>
  </si>
  <si>
    <t>OBSERVACIONES:</t>
  </si>
  <si>
    <t>ENSAYO DE COMPACTACION PROCTOR
AASHTO T 99 O AASHTO T 180</t>
  </si>
  <si>
    <t>Fecha:</t>
  </si>
  <si>
    <t>Norma y Método de Compactación:</t>
  </si>
  <si>
    <t>AASHTO T 180 C</t>
  </si>
  <si>
    <t>No. de capas:</t>
  </si>
  <si>
    <t>No. de golpes por capa:</t>
  </si>
  <si>
    <r>
      <rPr>
        <sz val="8"/>
        <color theme="1"/>
        <rFont val="Arial"/>
      </rPr>
      <t>Volumen del Molde (cm</t>
    </r>
    <r>
      <rPr>
        <vertAlign val="superscript"/>
        <sz val="8"/>
        <color theme="1"/>
        <rFont val="Arial"/>
      </rPr>
      <t>3</t>
    </r>
    <r>
      <rPr>
        <sz val="8"/>
        <color theme="1"/>
        <rFont val="Arial"/>
      </rPr>
      <t xml:space="preserve">): </t>
    </r>
  </si>
  <si>
    <t>Peso del cilindro en gr.</t>
  </si>
  <si>
    <t>Punto</t>
  </si>
  <si>
    <t>Molde No.</t>
  </si>
  <si>
    <t>-</t>
  </si>
  <si>
    <t>Contenido de Humedad deseado</t>
  </si>
  <si>
    <t>%</t>
  </si>
  <si>
    <t>Contenido de Humedad Inicial</t>
  </si>
  <si>
    <t>Contenido de humedad adicional</t>
  </si>
  <si>
    <t>Peso de Muestra Inicial Húmeda</t>
  </si>
  <si>
    <t>g</t>
  </si>
  <si>
    <t>Peso de Muestra Inicial Seca</t>
  </si>
  <si>
    <t>Volumen de agua adicional</t>
  </si>
  <si>
    <t>cc</t>
  </si>
  <si>
    <t>Peso Suelo Húmedo + Molde</t>
  </si>
  <si>
    <t>Peso Suelo Húmedo</t>
  </si>
  <si>
    <t>CONTENIDO DE HUMEDAD VIA SPPEDY</t>
  </si>
  <si>
    <t>Peso unitario total (Húmedo), gt</t>
  </si>
  <si>
    <t>g/cm³</t>
  </si>
  <si>
    <r>
      <rPr>
        <sz val="12"/>
        <color theme="1"/>
        <rFont val="Arial"/>
      </rPr>
      <t xml:space="preserve">Peso unitario seco, </t>
    </r>
    <r>
      <rPr>
        <sz val="12"/>
        <color theme="1"/>
        <rFont val="Symbol"/>
      </rPr>
      <t>g</t>
    </r>
    <r>
      <rPr>
        <sz val="12"/>
        <color theme="1"/>
        <rFont val="Arial"/>
      </rPr>
      <t>d</t>
    </r>
  </si>
  <si>
    <r>
      <rPr>
        <sz val="12"/>
        <color theme="1"/>
        <rFont val="Arial"/>
      </rPr>
      <t xml:space="preserve">Peso unitario seco, </t>
    </r>
    <r>
      <rPr>
        <sz val="12"/>
        <color theme="1"/>
        <rFont val="Symbol"/>
      </rPr>
      <t>g</t>
    </r>
    <r>
      <rPr>
        <sz val="12"/>
        <color theme="1"/>
        <rFont val="Arial"/>
      </rPr>
      <t>d</t>
    </r>
  </si>
  <si>
    <t>lb/pie³</t>
  </si>
  <si>
    <t>Clasificación</t>
  </si>
  <si>
    <t>LL =</t>
  </si>
  <si>
    <t>NL</t>
  </si>
  <si>
    <t>LP =</t>
  </si>
  <si>
    <t>NP</t>
  </si>
  <si>
    <t>IP =</t>
  </si>
  <si>
    <t>NIP</t>
  </si>
  <si>
    <t>SUCS</t>
  </si>
  <si>
    <t>Indice de grupo</t>
  </si>
  <si>
    <t>AASHTO</t>
  </si>
  <si>
    <t>w</t>
  </si>
  <si>
    <t>PUS</t>
  </si>
  <si>
    <r>
      <rPr>
        <b/>
        <sz val="12"/>
        <color theme="1"/>
        <rFont val="Noto Sans Symbols"/>
      </rPr>
      <t>g</t>
    </r>
    <r>
      <rPr>
        <b/>
        <sz val="12"/>
        <color theme="1"/>
        <rFont val="Arial"/>
      </rPr>
      <t>t (g/cm³)</t>
    </r>
  </si>
  <si>
    <r>
      <rPr>
        <b/>
        <sz val="12"/>
        <color theme="1"/>
        <rFont val="Noto Sans Symbols"/>
      </rPr>
      <t>g</t>
    </r>
    <r>
      <rPr>
        <b/>
        <sz val="12"/>
        <color theme="1"/>
        <rFont val="Arial"/>
      </rPr>
      <t xml:space="preserve">d </t>
    </r>
    <r>
      <rPr>
        <b/>
        <vertAlign val="subscript"/>
        <sz val="12"/>
        <color theme="1"/>
        <rFont val="Arial"/>
      </rPr>
      <t>óptimo</t>
    </r>
    <r>
      <rPr>
        <b/>
        <sz val="12"/>
        <color theme="1"/>
        <rFont val="Arial"/>
      </rPr>
      <t xml:space="preserve"> (kg/m³)</t>
    </r>
  </si>
  <si>
    <r>
      <rPr>
        <b/>
        <sz val="12"/>
        <color theme="1"/>
        <rFont val="Noto Sans Symbols"/>
      </rPr>
      <t>g</t>
    </r>
    <r>
      <rPr>
        <b/>
        <sz val="12"/>
        <color theme="1"/>
        <rFont val="Arial"/>
      </rPr>
      <t xml:space="preserve">d </t>
    </r>
    <r>
      <rPr>
        <b/>
        <vertAlign val="subscript"/>
        <sz val="12"/>
        <color theme="1"/>
        <rFont val="Arial"/>
      </rPr>
      <t>óptimo</t>
    </r>
    <r>
      <rPr>
        <b/>
        <sz val="12"/>
        <color theme="1"/>
        <rFont val="Arial"/>
      </rPr>
      <t xml:space="preserve"> (lb/pie³)</t>
    </r>
  </si>
  <si>
    <t>|</t>
  </si>
  <si>
    <t>w optima (%)</t>
  </si>
  <si>
    <t xml:space="preserve"> </t>
  </si>
  <si>
    <t>Observaciones</t>
  </si>
  <si>
    <t>DENSIDAD DE LOS SUELOS EN EL SITIO METODO ARENA- AASHTO             T-191</t>
  </si>
  <si>
    <t>Prueba No.</t>
  </si>
  <si>
    <t>Fecha de la prueba</t>
  </si>
  <si>
    <t>Capa</t>
  </si>
  <si>
    <t>Profundidad de perforación (pulg)</t>
  </si>
  <si>
    <t>4"</t>
  </si>
  <si>
    <t>Peso picnómetro (1) (lb)</t>
  </si>
  <si>
    <t>Peso picnómetro (2) (lb)</t>
  </si>
  <si>
    <t>Peso del embudo  (lb)</t>
  </si>
  <si>
    <t>Peso picnómetro (3) (lb)</t>
  </si>
  <si>
    <t>Peso arena total (lb)</t>
  </si>
  <si>
    <t>Peso del embudo (lb)</t>
  </si>
  <si>
    <t>Peso arena adentro (lb)</t>
  </si>
  <si>
    <r>
      <rPr>
        <sz val="16"/>
        <color theme="1"/>
        <rFont val="Calibri"/>
      </rPr>
      <t>densidad de la arena (lb/pie</t>
    </r>
    <r>
      <rPr>
        <sz val="16"/>
        <color theme="1"/>
        <rFont val="Bookman Old Style"/>
      </rPr>
      <t>³)</t>
    </r>
  </si>
  <si>
    <t>volumen del agujero cc.</t>
  </si>
  <si>
    <t>Peso Bruto Humedol (PBH)</t>
  </si>
  <si>
    <t>Tara lb</t>
  </si>
  <si>
    <t>Peso Neto Humedo (PNH)  (lb)</t>
  </si>
  <si>
    <t>Peso Unitario Humedo (PUH)  (lb)</t>
  </si>
  <si>
    <t>Humedad de campo (%)</t>
  </si>
  <si>
    <t>Peso Unitario Seco de campo  (lb)</t>
  </si>
  <si>
    <t>Peso unitario seco de laboraorio  (lb)</t>
  </si>
  <si>
    <t>de humedad óptima de laboratorio (%)</t>
  </si>
  <si>
    <t>Compactación (%)</t>
  </si>
  <si>
    <t>Observaciones:</t>
  </si>
  <si>
    <t>Vo.Bo.</t>
  </si>
  <si>
    <t>Estudio de Suelos, Asfalto y concreto</t>
  </si>
  <si>
    <t>CHEQUEO DE COMPACTACIÓN EN CAPA DE BASE GRANULAR</t>
  </si>
  <si>
    <t>Lado:</t>
  </si>
  <si>
    <t>Lado</t>
  </si>
  <si>
    <t xml:space="preserve">El motivo de la presente es para entregar resultados obtenidos en campo de los estudios realizados al material de capa de BASE GRANULAR  (proctor y densidades) del Proyecto:  </t>
  </si>
  <si>
    <t>Adjunto a la presente encontrará el detalle de los resultados obtenidos.</t>
  </si>
  <si>
    <t>MUNICIPALIDAD DE EL QUETZAL, SAN MARCOS</t>
  </si>
  <si>
    <t>CONSTRUCCIONES Y VENTA ADONAI</t>
  </si>
  <si>
    <t>MEJORAMIENTO CAMINO RURAL ENTRADA PRINCIPAL, DEL PUENTE HACIA CASERIO VILLA NUEVA, MUNICIPIO DE EL QUETZAL, SAN MARCOS</t>
  </si>
  <si>
    <t>CENTRO</t>
  </si>
  <si>
    <t>DERECHO</t>
  </si>
  <si>
    <t xml:space="preserve">POLVILLO DE TRITURACÓN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</si>
</sst>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F800]dddd\,\ mmmm\ dd\,\ yyyy"/>
    <numFmt numFmtId="165" formatCode="0.0"/>
    <numFmt numFmtId="166" formatCode="#,##0.0"/>
    <numFmt numFmtId="167" formatCode="0.0%"/>
    <numFmt numFmtId="168" formatCode="_-&quot;$&quot;* #,##0.00_-;\-&quot;$&quot;* #,##0.00_-;_-&quot;$&quot;* &quot;-&quot;??_-;_-@"/>
    <numFmt numFmtId="169" formatCode="#,##0.000"/>
    <numFmt numFmtId="170" formatCode="0.000"/>
    <numFmt numFmtId="171" formatCode="d\ &quot;de&quot;\ mmmm\ &quot;de&quot;\ yyyy"/>
    <numFmt numFmtId="172" formatCode="d/m/yyyy"/>
    <numFmt numFmtId="173" formatCode="0.000000"/>
  </numFmts>
  <fonts count="87">
    <font>
      <sz val="11"/>
      <color theme="1"/>
      <name val="Arial"/>
      <scheme val="minor"/>
    </font>
    <font>
      <sz val="11"/>
      <color theme="1"/>
      <name val="Calibri"/>
    </font>
    <font>
      <sz val="11"/>
      <name val="Arial"/>
    </font>
    <font>
      <b/>
      <sz val="26"/>
      <color rgb="FF244061"/>
      <name val="Book Antiqua"/>
    </font>
    <font>
      <b/>
      <sz val="14"/>
      <color rgb="FF244061"/>
      <name val="Book Antiqua"/>
    </font>
    <font>
      <b/>
      <sz val="16"/>
      <color rgb="FF244061"/>
      <name val="Book Antiqua"/>
    </font>
    <font>
      <sz val="14"/>
      <color theme="1"/>
      <name val="Arial"/>
    </font>
    <font>
      <sz val="18"/>
      <color theme="1"/>
      <name val="Arial"/>
    </font>
    <font>
      <b/>
      <sz val="16"/>
      <color theme="1"/>
      <name val="Arial"/>
    </font>
    <font>
      <b/>
      <sz val="20"/>
      <color theme="1"/>
      <name val="Calibri"/>
    </font>
    <font>
      <b/>
      <sz val="16"/>
      <color theme="1"/>
      <name val="Calibri"/>
    </font>
    <font>
      <b/>
      <sz val="14"/>
      <color theme="1"/>
      <name val="Arial"/>
    </font>
    <font>
      <b/>
      <sz val="20"/>
      <color theme="1"/>
      <name val="Book Antiqua"/>
    </font>
    <font>
      <b/>
      <sz val="20"/>
      <color rgb="FFC00000"/>
      <name val="Book Antiqua"/>
    </font>
    <font>
      <b/>
      <sz val="14"/>
      <color theme="1"/>
      <name val="Bookman Old Style"/>
    </font>
    <font>
      <sz val="14"/>
      <color theme="10"/>
      <name val="Calibri"/>
    </font>
    <font>
      <b/>
      <sz val="12"/>
      <color theme="1"/>
      <name val="Bookman Old Style"/>
    </font>
    <font>
      <b/>
      <sz val="16"/>
      <color theme="1"/>
      <name val="Bookman Old Style"/>
    </font>
    <font>
      <b/>
      <sz val="14"/>
      <color theme="1"/>
      <name val="Calibri"/>
    </font>
    <font>
      <b/>
      <sz val="24"/>
      <color rgb="FF17365D"/>
      <name val="Bookman Old Style"/>
    </font>
    <font>
      <b/>
      <sz val="12"/>
      <color theme="1"/>
      <name val="Calibri"/>
    </font>
    <font>
      <b/>
      <sz val="18"/>
      <color theme="1"/>
      <name val="Bookman Old Style"/>
    </font>
    <font>
      <b/>
      <sz val="18"/>
      <color theme="1"/>
      <name val="Calibri"/>
    </font>
    <font>
      <b/>
      <sz val="10"/>
      <color theme="1"/>
      <name val="Calibri"/>
    </font>
    <font>
      <sz val="18"/>
      <color theme="1"/>
      <name val="Calibri"/>
    </font>
    <font>
      <b/>
      <sz val="22"/>
      <color theme="1"/>
      <name val="Calibri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22"/>
      <color rgb="FF17365D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0"/>
      <color rgb="FF17365D"/>
      <name val="Arial"/>
    </font>
    <font>
      <sz val="8"/>
      <color theme="1"/>
      <name val="Arial"/>
    </font>
    <font>
      <b/>
      <sz val="8"/>
      <color theme="1"/>
      <name val="Arial"/>
    </font>
    <font>
      <sz val="12"/>
      <color theme="1"/>
      <name val="Arial"/>
    </font>
    <font>
      <sz val="12"/>
      <color rgb="FF953734"/>
      <name val="Arial"/>
    </font>
    <font>
      <sz val="10"/>
      <color rgb="FF00FF00"/>
      <name val="Arial"/>
    </font>
    <font>
      <b/>
      <sz val="12"/>
      <color theme="1"/>
      <name val="Noto Sans Symbols"/>
    </font>
    <font>
      <b/>
      <sz val="12"/>
      <color rgb="FFFF0000"/>
      <name val="Arial"/>
    </font>
    <font>
      <sz val="10"/>
      <color rgb="FFFF0000"/>
      <name val="Arial"/>
    </font>
    <font>
      <sz val="10"/>
      <color theme="1"/>
      <name val="Noto Sans Symbols"/>
    </font>
    <font>
      <sz val="6"/>
      <color theme="1"/>
      <name val="Arial"/>
    </font>
    <font>
      <i/>
      <sz val="10"/>
      <color theme="1"/>
      <name val="Arial"/>
    </font>
    <font>
      <sz val="9"/>
      <color theme="1"/>
      <name val="Arial"/>
    </font>
    <font>
      <b/>
      <i/>
      <sz val="10"/>
      <color theme="1"/>
      <name val="Arial"/>
    </font>
    <font>
      <sz val="16"/>
      <color theme="1"/>
      <name val="Calibri"/>
    </font>
    <font>
      <sz val="20"/>
      <color theme="1"/>
      <name val="Calibri"/>
    </font>
    <font>
      <b/>
      <sz val="8"/>
      <color theme="1"/>
      <name val="Calibri"/>
    </font>
    <font>
      <sz val="14"/>
      <color theme="1"/>
      <name val="Calibri"/>
    </font>
    <font>
      <sz val="14"/>
      <color rgb="FF000000"/>
      <name val="Arial"/>
    </font>
    <font>
      <sz val="14"/>
      <color rgb="FF000000"/>
      <name val="Times New Roman"/>
    </font>
    <font>
      <vertAlign val="superscript"/>
      <sz val="8"/>
      <color theme="1"/>
      <name val="Arial"/>
    </font>
    <font>
      <sz val="12"/>
      <color theme="1"/>
      <name val="Symbol"/>
    </font>
    <font>
      <b/>
      <vertAlign val="subscript"/>
      <sz val="12"/>
      <color theme="1"/>
      <name val="Arial"/>
    </font>
    <font>
      <sz val="16"/>
      <color theme="1"/>
      <name val="Bookman Old Style"/>
    </font>
    <font>
      <b/>
      <sz val="20"/>
      <color theme="1"/>
      <name val="Book Antiqua"/>
      <family val="1"/>
    </font>
    <font>
      <sz val="20"/>
      <color theme="1"/>
      <name val="Arial"/>
      <family val="2"/>
      <scheme val="minor"/>
    </font>
    <font>
      <sz val="20"/>
      <name val="Arial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2"/>
      <name val="Arial"/>
      <family val="2"/>
    </font>
    <font>
      <sz val="11"/>
      <name val="Arial"/>
      <family val="2"/>
    </font>
    <font>
      <b/>
      <sz val="28"/>
      <color rgb="FF244061"/>
      <name val="Book Antiqua"/>
      <family val="1"/>
    </font>
    <font>
      <sz val="11"/>
      <name val="Book Antiqua"/>
      <family val="1"/>
    </font>
    <font>
      <b/>
      <sz val="14"/>
      <color rgb="FF002060"/>
      <name val="Book Antiqua"/>
      <family val="1"/>
    </font>
    <font>
      <b/>
      <sz val="24"/>
      <color rgb="FF17365D"/>
      <name val="Book Antiqua"/>
      <family val="1"/>
    </font>
    <font>
      <b/>
      <sz val="20"/>
      <color rgb="FF17365D"/>
      <name val="Book Antiqua"/>
      <family val="1"/>
    </font>
    <font>
      <b/>
      <sz val="12"/>
      <color rgb="FF0F243E"/>
      <name val="Book Antiqua"/>
      <family val="1"/>
    </font>
    <font>
      <b/>
      <sz val="18"/>
      <color theme="1"/>
      <name val="Book Antiqua"/>
      <family val="1"/>
    </font>
    <font>
      <b/>
      <sz val="14"/>
      <color theme="1"/>
      <name val="Book Antiqua"/>
      <family val="1"/>
    </font>
    <font>
      <b/>
      <sz val="23"/>
      <color rgb="FF17365D"/>
      <name val="Book Antiqua"/>
      <family val="1"/>
    </font>
    <font>
      <b/>
      <sz val="12"/>
      <color rgb="FF17365D"/>
      <name val="Book Antiqua"/>
      <family val="1"/>
    </font>
    <font>
      <b/>
      <sz val="14"/>
      <name val="Book Antiqua"/>
      <family val="1"/>
    </font>
    <font>
      <b/>
      <sz val="26"/>
      <color rgb="FF17365D"/>
      <name val="Book Antiqua"/>
      <family val="1"/>
    </font>
    <font>
      <b/>
      <sz val="22"/>
      <color rgb="FF17365D"/>
      <name val="Book Antiqua"/>
      <family val="1"/>
    </font>
    <font>
      <b/>
      <sz val="14"/>
      <color rgb="FF17365D"/>
      <name val="Book Antiqua"/>
      <family val="1"/>
    </font>
    <font>
      <sz val="11"/>
      <color theme="1"/>
      <name val="Book Antiqua"/>
      <family val="1"/>
    </font>
    <font>
      <sz val="20"/>
      <color theme="1"/>
      <name val="Book Antiqua"/>
      <family val="1"/>
    </font>
    <font>
      <b/>
      <sz val="16"/>
      <color theme="1"/>
      <name val="Book Antiqua"/>
      <family val="1"/>
    </font>
    <font>
      <b/>
      <sz val="18"/>
      <color rgb="FF002060"/>
      <name val="Book Antiqua"/>
      <family val="1"/>
    </font>
    <font>
      <b/>
      <sz val="16"/>
      <color theme="1"/>
      <name val="Arial"/>
      <family val="2"/>
    </font>
    <font>
      <sz val="20"/>
      <name val="Book Antiqua"/>
      <family val="1"/>
    </font>
    <font>
      <sz val="16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Book Antiqua"/>
      <family val="1"/>
    </font>
    <font>
      <sz val="11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120">
    <border>
      <left/>
      <right/>
      <top/>
      <bottom/>
      <diagonal/>
    </border>
    <border>
      <left style="double">
        <color rgb="FF366092"/>
      </left>
      <right/>
      <top style="double">
        <color rgb="FF366092"/>
      </top>
      <bottom/>
      <diagonal/>
    </border>
    <border>
      <left/>
      <right/>
      <top style="double">
        <color rgb="FF366092"/>
      </top>
      <bottom/>
      <diagonal/>
    </border>
    <border>
      <left/>
      <right style="double">
        <color rgb="FF366092"/>
      </right>
      <top style="double">
        <color rgb="FF366092"/>
      </top>
      <bottom/>
      <diagonal/>
    </border>
    <border>
      <left style="double">
        <color rgb="FF366092"/>
      </left>
      <right/>
      <top/>
      <bottom/>
      <diagonal/>
    </border>
    <border>
      <left/>
      <right style="double">
        <color rgb="FF366092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uble">
        <color rgb="FF366092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366092"/>
      </right>
      <top style="thin">
        <color rgb="FF000000"/>
      </top>
      <bottom/>
      <diagonal/>
    </border>
    <border>
      <left style="double">
        <color rgb="FF366092"/>
      </left>
      <right/>
      <top/>
      <bottom style="double">
        <color rgb="FF366092"/>
      </bottom>
      <diagonal/>
    </border>
    <border>
      <left/>
      <right/>
      <top/>
      <bottom style="double">
        <color rgb="FF366092"/>
      </bottom>
      <diagonal/>
    </border>
    <border>
      <left/>
      <right style="double">
        <color rgb="FF366092"/>
      </right>
      <top/>
      <bottom style="double">
        <color rgb="FF36609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494429"/>
      </bottom>
      <diagonal/>
    </border>
    <border>
      <left/>
      <right/>
      <top/>
      <bottom style="thin">
        <color rgb="FF494429"/>
      </bottom>
      <diagonal/>
    </border>
    <border>
      <left/>
      <right style="thin">
        <color rgb="FF000000"/>
      </right>
      <top/>
      <bottom style="thin">
        <color rgb="FF494429"/>
      </bottom>
      <diagonal/>
    </border>
    <border>
      <left style="medium">
        <color rgb="FF000000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/>
      <diagonal/>
    </border>
    <border>
      <left/>
      <right/>
      <top style="thin">
        <color rgb="FF494429"/>
      </top>
      <bottom/>
      <diagonal/>
    </border>
    <border>
      <left/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000000"/>
      </right>
      <top style="thin">
        <color rgb="FF494429"/>
      </top>
      <bottom style="thin">
        <color rgb="FF494429"/>
      </bottom>
      <diagonal/>
    </border>
    <border>
      <left style="medium">
        <color rgb="FF000000"/>
      </left>
      <right/>
      <top style="thin">
        <color rgb="FF494429"/>
      </top>
      <bottom style="hair">
        <color rgb="FF494429"/>
      </bottom>
      <diagonal/>
    </border>
    <border>
      <left/>
      <right/>
      <top style="thin">
        <color rgb="FF494429"/>
      </top>
      <bottom style="hair">
        <color rgb="FF494429"/>
      </bottom>
      <diagonal/>
    </border>
    <border>
      <left/>
      <right style="hair">
        <color rgb="FF494429"/>
      </right>
      <top style="thin">
        <color rgb="FF494429"/>
      </top>
      <bottom style="hair">
        <color rgb="FF494429"/>
      </bottom>
      <diagonal/>
    </border>
    <border>
      <left style="hair">
        <color rgb="FF494429"/>
      </left>
      <right/>
      <top style="thin">
        <color rgb="FF494429"/>
      </top>
      <bottom style="hair">
        <color rgb="FF494429"/>
      </bottom>
      <diagonal/>
    </border>
    <border>
      <left/>
      <right style="medium">
        <color rgb="FF000000"/>
      </right>
      <top style="thin">
        <color rgb="FF494429"/>
      </top>
      <bottom style="hair">
        <color rgb="FF494429"/>
      </bottom>
      <diagonal/>
    </border>
    <border>
      <left style="medium">
        <color rgb="FF000000"/>
      </left>
      <right/>
      <top style="hair">
        <color rgb="FF494429"/>
      </top>
      <bottom style="hair">
        <color rgb="FF494429"/>
      </bottom>
      <diagonal/>
    </border>
    <border>
      <left/>
      <right/>
      <top style="hair">
        <color rgb="FF494429"/>
      </top>
      <bottom style="hair">
        <color rgb="FF494429"/>
      </bottom>
      <diagonal/>
    </border>
    <border>
      <left/>
      <right style="hair">
        <color rgb="FF494429"/>
      </right>
      <top style="hair">
        <color rgb="FF494429"/>
      </top>
      <bottom style="hair">
        <color rgb="FF494429"/>
      </bottom>
      <diagonal/>
    </border>
    <border>
      <left style="hair">
        <color rgb="FF494429"/>
      </left>
      <right/>
      <top style="hair">
        <color rgb="FF494429"/>
      </top>
      <bottom style="hair">
        <color rgb="FF494429"/>
      </bottom>
      <diagonal/>
    </border>
    <border>
      <left/>
      <right style="medium">
        <color rgb="FF000000"/>
      </right>
      <top style="hair">
        <color rgb="FF494429"/>
      </top>
      <bottom style="hair">
        <color rgb="FF494429"/>
      </bottom>
      <diagonal/>
    </border>
    <border>
      <left style="medium">
        <color rgb="FF000000"/>
      </left>
      <right/>
      <top style="hair">
        <color rgb="FF494429"/>
      </top>
      <bottom style="thin">
        <color rgb="FF494429"/>
      </bottom>
      <diagonal/>
    </border>
    <border>
      <left/>
      <right/>
      <top style="hair">
        <color rgb="FF494429"/>
      </top>
      <bottom style="thin">
        <color rgb="FF494429"/>
      </bottom>
      <diagonal/>
    </border>
    <border>
      <left/>
      <right style="hair">
        <color rgb="FF494429"/>
      </right>
      <top style="hair">
        <color rgb="FF494429"/>
      </top>
      <bottom style="thin">
        <color rgb="FF494429"/>
      </bottom>
      <diagonal/>
    </border>
    <border>
      <left style="hair">
        <color rgb="FF494429"/>
      </left>
      <right/>
      <top style="hair">
        <color rgb="FF494429"/>
      </top>
      <bottom style="thin">
        <color rgb="FF494429"/>
      </bottom>
      <diagonal/>
    </border>
    <border>
      <left/>
      <right style="medium">
        <color rgb="FF000000"/>
      </right>
      <top style="hair">
        <color rgb="FF494429"/>
      </top>
      <bottom style="thin">
        <color rgb="FF494429"/>
      </bottom>
      <diagonal/>
    </border>
    <border>
      <left style="medium">
        <color rgb="FF000000"/>
      </left>
      <right/>
      <top style="thin">
        <color rgb="FF494429"/>
      </top>
      <bottom/>
      <diagonal/>
    </border>
    <border>
      <left/>
      <right style="dotted">
        <color rgb="FF494429"/>
      </right>
      <top style="thin">
        <color rgb="FF494429"/>
      </top>
      <bottom/>
      <diagonal/>
    </border>
    <border>
      <left style="dotted">
        <color rgb="FF494429"/>
      </left>
      <right/>
      <top style="thin">
        <color rgb="FF494429"/>
      </top>
      <bottom style="dotted">
        <color rgb="FF494429"/>
      </bottom>
      <diagonal/>
    </border>
    <border>
      <left/>
      <right style="dotted">
        <color rgb="FF494429"/>
      </right>
      <top style="thin">
        <color rgb="FF494429"/>
      </top>
      <bottom style="dotted">
        <color rgb="FF494429"/>
      </bottom>
      <diagonal/>
    </border>
    <border>
      <left/>
      <right/>
      <top style="thin">
        <color rgb="FF494429"/>
      </top>
      <bottom style="dotted">
        <color rgb="FF494429"/>
      </bottom>
      <diagonal/>
    </border>
    <border>
      <left/>
      <right style="medium">
        <color rgb="FF000000"/>
      </right>
      <top style="thin">
        <color rgb="FF494429"/>
      </top>
      <bottom style="dotted">
        <color rgb="FF494429"/>
      </bottom>
      <diagonal/>
    </border>
    <border>
      <left/>
      <right style="dotted">
        <color rgb="FF494429"/>
      </right>
      <top/>
      <bottom/>
      <diagonal/>
    </border>
    <border>
      <left style="dotted">
        <color rgb="FF494429"/>
      </left>
      <right/>
      <top style="dotted">
        <color rgb="FF494429"/>
      </top>
      <bottom style="dotted">
        <color rgb="FF494429"/>
      </bottom>
      <diagonal/>
    </border>
    <border>
      <left/>
      <right style="dotted">
        <color rgb="FF494429"/>
      </right>
      <top style="dotted">
        <color rgb="FF494429"/>
      </top>
      <bottom style="dotted">
        <color rgb="FF494429"/>
      </bottom>
      <diagonal/>
    </border>
    <border>
      <left/>
      <right/>
      <top style="dotted">
        <color rgb="FF494429"/>
      </top>
      <bottom style="dotted">
        <color rgb="FF494429"/>
      </bottom>
      <diagonal/>
    </border>
    <border>
      <left/>
      <right style="medium">
        <color rgb="FF000000"/>
      </right>
      <top style="dotted">
        <color rgb="FF494429"/>
      </top>
      <bottom style="dotted">
        <color rgb="FF494429"/>
      </bottom>
      <diagonal/>
    </border>
    <border>
      <left style="medium">
        <color rgb="FF000000"/>
      </left>
      <right/>
      <top/>
      <bottom style="dotted">
        <color rgb="FF494429"/>
      </bottom>
      <diagonal/>
    </border>
    <border>
      <left/>
      <right/>
      <top/>
      <bottom style="dotted">
        <color rgb="FF494429"/>
      </bottom>
      <diagonal/>
    </border>
    <border>
      <left/>
      <right style="dotted">
        <color rgb="FF494429"/>
      </right>
      <top/>
      <bottom style="dotted">
        <color rgb="FF494429"/>
      </bottom>
      <diagonal/>
    </border>
    <border>
      <left style="medium">
        <color rgb="FF000000"/>
      </left>
      <right/>
      <top style="dotted">
        <color rgb="FF494429"/>
      </top>
      <bottom style="dotted">
        <color rgb="FF494429"/>
      </bottom>
      <diagonal/>
    </border>
    <border>
      <left style="medium">
        <color rgb="FF000000"/>
      </left>
      <right/>
      <top style="dotted">
        <color rgb="FF494429"/>
      </top>
      <bottom style="thin">
        <color rgb="FF494429"/>
      </bottom>
      <diagonal/>
    </border>
    <border>
      <left/>
      <right/>
      <top style="dotted">
        <color rgb="FF494429"/>
      </top>
      <bottom style="thin">
        <color rgb="FF494429"/>
      </bottom>
      <diagonal/>
    </border>
    <border>
      <left/>
      <right style="dotted">
        <color rgb="FF494429"/>
      </right>
      <top style="dotted">
        <color rgb="FF494429"/>
      </top>
      <bottom style="thin">
        <color rgb="FF494429"/>
      </bottom>
      <diagonal/>
    </border>
    <border>
      <left style="dotted">
        <color rgb="FF494429"/>
      </left>
      <right/>
      <top style="dotted">
        <color rgb="FF494429"/>
      </top>
      <bottom style="thin">
        <color rgb="FF494429"/>
      </bottom>
      <diagonal/>
    </border>
    <border>
      <left/>
      <right style="medium">
        <color rgb="FF000000"/>
      </right>
      <top style="dotted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dotted">
        <color rgb="FF494429"/>
      </bottom>
      <diagonal/>
    </border>
    <border>
      <left style="thin">
        <color rgb="FF494429"/>
      </left>
      <right/>
      <top style="dotted">
        <color rgb="FF494429"/>
      </top>
      <bottom style="dotted">
        <color rgb="FF494429"/>
      </bottom>
      <diagonal/>
    </border>
    <border>
      <left style="dotted">
        <color rgb="FF494429"/>
      </left>
      <right/>
      <top style="dotted">
        <color rgb="FF494429"/>
      </top>
      <bottom/>
      <diagonal/>
    </border>
    <border>
      <left/>
      <right/>
      <top style="dotted">
        <color rgb="FF494429"/>
      </top>
      <bottom/>
      <diagonal/>
    </border>
    <border>
      <left/>
      <right style="medium">
        <color rgb="FF000000"/>
      </right>
      <top style="dotted">
        <color rgb="FF494429"/>
      </top>
      <bottom/>
      <diagonal/>
    </border>
    <border>
      <left style="thin">
        <color rgb="FF494429"/>
      </left>
      <right/>
      <top style="dotted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9" fontId="86" fillId="0" borderId="0" applyFont="0" applyFill="0" applyBorder="0" applyAlignment="0" applyProtection="0"/>
  </cellStyleXfs>
  <cellXfs count="378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5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5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4" fillId="3" borderId="32" xfId="0" applyFont="1" applyFill="1" applyBorder="1" applyAlignment="1">
      <alignment vertical="center" wrapText="1"/>
    </xf>
    <xf numFmtId="0" fontId="1" fillId="3" borderId="32" xfId="0" applyFont="1" applyFill="1" applyBorder="1"/>
    <xf numFmtId="2" fontId="22" fillId="0" borderId="41" xfId="0" applyNumberFormat="1" applyFont="1" applyBorder="1" applyAlignment="1">
      <alignment horizontal="center" vertical="center"/>
    </xf>
    <xf numFmtId="1" fontId="9" fillId="4" borderId="42" xfId="0" applyNumberFormat="1" applyFont="1" applyFill="1" applyBorder="1" applyAlignment="1">
      <alignment horizontal="center" vertical="top"/>
    </xf>
    <xf numFmtId="165" fontId="9" fillId="4" borderId="42" xfId="0" applyNumberFormat="1" applyFont="1" applyFill="1" applyBorder="1" applyAlignment="1">
      <alignment horizontal="center" vertical="top"/>
    </xf>
    <xf numFmtId="2" fontId="23" fillId="0" borderId="41" xfId="0" applyNumberFormat="1" applyFont="1" applyBorder="1" applyAlignment="1">
      <alignment horizontal="center" vertical="top"/>
    </xf>
    <xf numFmtId="0" fontId="1" fillId="0" borderId="42" xfId="0" applyFont="1" applyBorder="1" applyAlignment="1">
      <alignment horizontal="center" vertical="top"/>
    </xf>
    <xf numFmtId="2" fontId="23" fillId="0" borderId="41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165" fontId="25" fillId="4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 applyAlignment="1">
      <alignment vertical="center"/>
    </xf>
    <xf numFmtId="0" fontId="19" fillId="3" borderId="32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16" fillId="3" borderId="60" xfId="0" applyFont="1" applyFill="1" applyBorder="1" applyAlignment="1">
      <alignment vertical="center" wrapText="1"/>
    </xf>
    <xf numFmtId="0" fontId="16" fillId="3" borderId="61" xfId="0" applyFont="1" applyFill="1" applyBorder="1" applyAlignment="1">
      <alignment vertical="center" wrapText="1"/>
    </xf>
    <xf numFmtId="0" fontId="16" fillId="3" borderId="62" xfId="0" applyFont="1" applyFill="1" applyBorder="1" applyAlignment="1">
      <alignment vertical="center" wrapText="1"/>
    </xf>
    <xf numFmtId="0" fontId="27" fillId="0" borderId="21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7" fillId="0" borderId="19" xfId="0" applyFont="1" applyBorder="1" applyAlignment="1">
      <alignment vertical="center"/>
    </xf>
    <xf numFmtId="0" fontId="27" fillId="3" borderId="32" xfId="0" applyFont="1" applyFill="1" applyBorder="1" applyAlignment="1">
      <alignment vertical="center"/>
    </xf>
    <xf numFmtId="168" fontId="27" fillId="0" borderId="0" xfId="0" applyNumberFormat="1" applyFont="1" applyAlignment="1">
      <alignment vertical="center"/>
    </xf>
    <xf numFmtId="0" fontId="33" fillId="0" borderId="19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3" fontId="33" fillId="0" borderId="2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5" fontId="33" fillId="0" borderId="41" xfId="0" applyNumberFormat="1" applyFont="1" applyBorder="1" applyAlignment="1">
      <alignment vertical="center"/>
    </xf>
    <xf numFmtId="169" fontId="33" fillId="0" borderId="41" xfId="0" applyNumberFormat="1" applyFont="1" applyBorder="1" applyAlignment="1">
      <alignment vertical="center"/>
    </xf>
    <xf numFmtId="165" fontId="33" fillId="5" borderId="41" xfId="0" applyNumberFormat="1" applyFont="1" applyFill="1" applyBorder="1" applyAlignment="1">
      <alignment vertical="center"/>
    </xf>
    <xf numFmtId="169" fontId="33" fillId="5" borderId="41" xfId="0" applyNumberFormat="1" applyFont="1" applyFill="1" applyBorder="1" applyAlignment="1">
      <alignment vertical="center"/>
    </xf>
    <xf numFmtId="165" fontId="27" fillId="0" borderId="41" xfId="0" applyNumberFormat="1" applyFont="1" applyBorder="1" applyAlignment="1">
      <alignment vertical="center"/>
    </xf>
    <xf numFmtId="169" fontId="27" fillId="0" borderId="41" xfId="0" applyNumberFormat="1" applyFont="1" applyBorder="1" applyAlignment="1">
      <alignment vertical="center"/>
    </xf>
    <xf numFmtId="0" fontId="36" fillId="0" borderId="19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vertical="center"/>
    </xf>
    <xf numFmtId="0" fontId="36" fillId="0" borderId="21" xfId="0" applyFont="1" applyBorder="1" applyAlignment="1">
      <alignment vertical="center"/>
    </xf>
    <xf numFmtId="0" fontId="35" fillId="0" borderId="19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0" fillId="0" borderId="21" xfId="0" applyFont="1" applyBorder="1" applyAlignment="1">
      <alignment vertical="center"/>
    </xf>
    <xf numFmtId="0" fontId="34" fillId="0" borderId="0" xfId="0" applyFont="1" applyAlignment="1">
      <alignment vertical="center" textRotation="255" wrapText="1"/>
    </xf>
    <xf numFmtId="0" fontId="30" fillId="0" borderId="69" xfId="0" applyFont="1" applyBorder="1" applyAlignment="1">
      <alignment vertical="center"/>
    </xf>
    <xf numFmtId="0" fontId="35" fillId="0" borderId="64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165" fontId="30" fillId="0" borderId="0" xfId="0" applyNumberFormat="1" applyFont="1" applyAlignment="1">
      <alignment vertical="center"/>
    </xf>
    <xf numFmtId="165" fontId="30" fillId="0" borderId="21" xfId="0" applyNumberFormat="1" applyFont="1" applyBorder="1" applyAlignment="1">
      <alignment vertical="center"/>
    </xf>
    <xf numFmtId="165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horizontal="center" vertical="center"/>
    </xf>
    <xf numFmtId="165" fontId="33" fillId="0" borderId="0" xfId="0" applyNumberFormat="1" applyFont="1" applyAlignment="1">
      <alignment vertical="center"/>
    </xf>
    <xf numFmtId="170" fontId="33" fillId="0" borderId="0" xfId="0" applyNumberFormat="1" applyFont="1" applyAlignment="1">
      <alignment vertical="center"/>
    </xf>
    <xf numFmtId="1" fontId="39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70" fontId="27" fillId="0" borderId="0" xfId="0" applyNumberFormat="1" applyFont="1" applyAlignment="1">
      <alignment vertical="center"/>
    </xf>
    <xf numFmtId="170" fontId="40" fillId="0" borderId="0" xfId="0" applyNumberFormat="1" applyFont="1" applyAlignment="1">
      <alignment vertical="center"/>
    </xf>
    <xf numFmtId="4" fontId="33" fillId="0" borderId="0" xfId="0" applyNumberFormat="1" applyFont="1" applyAlignment="1">
      <alignment vertical="center"/>
    </xf>
    <xf numFmtId="4" fontId="30" fillId="0" borderId="0" xfId="0" applyNumberFormat="1" applyFont="1" applyAlignment="1">
      <alignment vertical="center"/>
    </xf>
    <xf numFmtId="4" fontId="30" fillId="0" borderId="21" xfId="0" applyNumberFormat="1" applyFont="1" applyBorder="1" applyAlignment="1">
      <alignment vertical="center"/>
    </xf>
    <xf numFmtId="165" fontId="39" fillId="0" borderId="0" xfId="0" applyNumberFormat="1" applyFont="1" applyAlignment="1">
      <alignment vertical="center"/>
    </xf>
    <xf numFmtId="0" fontId="34" fillId="0" borderId="19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42" fillId="0" borderId="0" xfId="0" applyFont="1" applyAlignment="1">
      <alignment horizontal="left" vertical="center"/>
    </xf>
    <xf numFmtId="0" fontId="34" fillId="0" borderId="21" xfId="0" applyFont="1" applyBorder="1" applyAlignment="1">
      <alignment vertical="center"/>
    </xf>
    <xf numFmtId="0" fontId="43" fillId="0" borderId="19" xfId="0" applyFont="1" applyBorder="1"/>
    <xf numFmtId="0" fontId="43" fillId="0" borderId="0" xfId="0" applyFont="1"/>
    <xf numFmtId="171" fontId="34" fillId="0" borderId="49" xfId="0" applyNumberFormat="1" applyFont="1" applyBorder="1" applyAlignment="1">
      <alignment vertical="center"/>
    </xf>
    <xf numFmtId="0" fontId="45" fillId="3" borderId="32" xfId="0" applyFont="1" applyFill="1" applyBorder="1" applyAlignment="1">
      <alignment horizontal="center"/>
    </xf>
    <xf numFmtId="171" fontId="34" fillId="0" borderId="0" xfId="0" applyNumberFormat="1" applyFont="1" applyAlignment="1">
      <alignment vertical="center"/>
    </xf>
    <xf numFmtId="0" fontId="9" fillId="3" borderId="112" xfId="0" applyFont="1" applyFill="1" applyBorder="1" applyAlignment="1">
      <alignment horizontal="center" vertical="center"/>
    </xf>
    <xf numFmtId="172" fontId="9" fillId="4" borderId="113" xfId="0" applyNumberFormat="1" applyFont="1" applyFill="1" applyBorder="1" applyAlignment="1">
      <alignment horizontal="center" vertical="center"/>
    </xf>
    <xf numFmtId="172" fontId="9" fillId="3" borderId="113" xfId="0" applyNumberFormat="1" applyFont="1" applyFill="1" applyBorder="1" applyAlignment="1">
      <alignment horizontal="center" vertical="center"/>
    </xf>
    <xf numFmtId="0" fontId="22" fillId="4" borderId="114" xfId="0" applyFont="1" applyFill="1" applyBorder="1" applyAlignment="1">
      <alignment horizontal="center" vertical="center" wrapText="1"/>
    </xf>
    <xf numFmtId="0" fontId="22" fillId="3" borderId="114" xfId="0" applyFont="1" applyFill="1" applyBorder="1" applyAlignment="1">
      <alignment horizontal="center" vertical="center" wrapText="1"/>
    </xf>
    <xf numFmtId="0" fontId="47" fillId="3" borderId="113" xfId="0" applyFont="1" applyFill="1" applyBorder="1" applyAlignment="1">
      <alignment horizontal="center" vertical="center"/>
    </xf>
    <xf numFmtId="2" fontId="47" fillId="3" borderId="115" xfId="0" applyNumberFormat="1" applyFont="1" applyFill="1" applyBorder="1" applyAlignment="1">
      <alignment horizontal="center" vertical="center"/>
    </xf>
    <xf numFmtId="2" fontId="47" fillId="3" borderId="114" xfId="0" applyNumberFormat="1" applyFont="1" applyFill="1" applyBorder="1" applyAlignment="1">
      <alignment horizontal="center" vertical="center"/>
    </xf>
    <xf numFmtId="2" fontId="47" fillId="3" borderId="113" xfId="0" applyNumberFormat="1" applyFont="1" applyFill="1" applyBorder="1" applyAlignment="1">
      <alignment horizontal="center" vertical="center"/>
    </xf>
    <xf numFmtId="0" fontId="47" fillId="0" borderId="114" xfId="0" applyFont="1" applyBorder="1" applyAlignment="1">
      <alignment horizontal="center"/>
    </xf>
    <xf numFmtId="0" fontId="47" fillId="3" borderId="114" xfId="0" applyFont="1" applyFill="1" applyBorder="1" applyAlignment="1">
      <alignment horizontal="center"/>
    </xf>
    <xf numFmtId="173" fontId="47" fillId="3" borderId="116" xfId="0" applyNumberFormat="1" applyFont="1" applyFill="1" applyBorder="1" applyAlignment="1">
      <alignment horizontal="center" vertical="center"/>
    </xf>
    <xf numFmtId="170" fontId="47" fillId="3" borderId="114" xfId="0" applyNumberFormat="1" applyFont="1" applyFill="1" applyBorder="1" applyAlignment="1">
      <alignment horizontal="center" vertical="center"/>
    </xf>
    <xf numFmtId="165" fontId="47" fillId="3" borderId="113" xfId="0" applyNumberFormat="1" applyFont="1" applyFill="1" applyBorder="1" applyAlignment="1">
      <alignment horizontal="center" vertical="center"/>
    </xf>
    <xf numFmtId="165" fontId="9" fillId="4" borderId="117" xfId="0" applyNumberFormat="1" applyFont="1" applyFill="1" applyBorder="1" applyAlignment="1">
      <alignment horizontal="center" vertical="center"/>
    </xf>
    <xf numFmtId="165" fontId="9" fillId="3" borderId="117" xfId="0" applyNumberFormat="1" applyFont="1" applyFill="1" applyBorder="1" applyAlignment="1">
      <alignment horizontal="center" vertical="center"/>
    </xf>
    <xf numFmtId="0" fontId="49" fillId="0" borderId="0" xfId="0" applyFont="1"/>
    <xf numFmtId="2" fontId="59" fillId="0" borderId="41" xfId="0" applyNumberFormat="1" applyFont="1" applyBorder="1" applyAlignment="1">
      <alignment horizontal="center" vertical="center" wrapText="1"/>
    </xf>
    <xf numFmtId="0" fontId="67" fillId="0" borderId="18" xfId="0" applyFont="1" applyBorder="1" applyAlignment="1">
      <alignment vertical="center" wrapText="1"/>
    </xf>
    <xf numFmtId="0" fontId="67" fillId="0" borderId="21" xfId="0" applyFont="1" applyBorder="1" applyAlignment="1">
      <alignment vertical="center" wrapText="1"/>
    </xf>
    <xf numFmtId="0" fontId="67" fillId="0" borderId="26" xfId="0" applyFont="1" applyBorder="1" applyAlignment="1">
      <alignment vertical="center" wrapText="1"/>
    </xf>
    <xf numFmtId="0" fontId="64" fillId="0" borderId="50" xfId="0" applyFont="1" applyBorder="1"/>
    <xf numFmtId="0" fontId="64" fillId="0" borderId="52" xfId="0" applyFont="1" applyBorder="1"/>
    <xf numFmtId="0" fontId="64" fillId="0" borderId="55" xfId="0" applyFont="1" applyBorder="1"/>
    <xf numFmtId="0" fontId="75" fillId="0" borderId="18" xfId="0" applyFont="1" applyBorder="1" applyAlignment="1">
      <alignment vertical="center"/>
    </xf>
    <xf numFmtId="0" fontId="75" fillId="0" borderId="21" xfId="0" applyFont="1" applyBorder="1" applyAlignment="1">
      <alignment vertical="center"/>
    </xf>
    <xf numFmtId="0" fontId="76" fillId="0" borderId="26" xfId="0" applyFont="1" applyBorder="1" applyAlignment="1">
      <alignment vertical="center"/>
    </xf>
    <xf numFmtId="0" fontId="77" fillId="0" borderId="0" xfId="0" applyFont="1"/>
    <xf numFmtId="0" fontId="81" fillId="0" borderId="0" xfId="0" applyFont="1"/>
    <xf numFmtId="0" fontId="22" fillId="3" borderId="113" xfId="0" applyFont="1" applyFill="1" applyBorder="1" applyAlignment="1">
      <alignment horizontal="center" vertical="center" wrapText="1"/>
    </xf>
    <xf numFmtId="0" fontId="84" fillId="4" borderId="114" xfId="0" applyFont="1" applyFill="1" applyBorder="1" applyAlignment="1">
      <alignment horizontal="center" vertical="center" wrapText="1"/>
    </xf>
    <xf numFmtId="0" fontId="84" fillId="0" borderId="41" xfId="0" applyFont="1" applyBorder="1" applyAlignment="1">
      <alignment horizontal="center" vertical="center" wrapText="1"/>
    </xf>
    <xf numFmtId="0" fontId="70" fillId="0" borderId="0" xfId="0" applyFont="1"/>
    <xf numFmtId="0" fontId="70" fillId="0" borderId="0" xfId="0" applyFont="1" applyAlignment="1">
      <alignment vertical="center"/>
    </xf>
    <xf numFmtId="0" fontId="2" fillId="0" borderId="55" xfId="0" applyFont="1" applyBorder="1"/>
    <xf numFmtId="0" fontId="82" fillId="0" borderId="55" xfId="0" applyFont="1" applyBorder="1"/>
    <xf numFmtId="0" fontId="85" fillId="0" borderId="0" xfId="0" applyFont="1" applyAlignment="1">
      <alignment horizontal="center"/>
    </xf>
    <xf numFmtId="167" fontId="47" fillId="3" borderId="114" xfId="1" applyNumberFormat="1" applyFont="1" applyFill="1" applyBorder="1" applyAlignment="1">
      <alignment horizontal="center" vertical="center"/>
    </xf>
    <xf numFmtId="0" fontId="56" fillId="0" borderId="55" xfId="0" applyFont="1" applyBorder="1" applyAlignment="1">
      <alignment horizontal="center" vertical="center" wrapText="1"/>
    </xf>
    <xf numFmtId="0" fontId="57" fillId="0" borderId="55" xfId="0" applyFont="1" applyBorder="1"/>
    <xf numFmtId="0" fontId="58" fillId="0" borderId="55" xfId="0" applyFont="1" applyBorder="1"/>
    <xf numFmtId="0" fontId="15" fillId="0" borderId="0" xfId="0" applyFont="1" applyAlignment="1">
      <alignment horizontal="center" vertical="center"/>
    </xf>
    <xf numFmtId="0" fontId="0" fillId="0" borderId="0" xfId="0"/>
    <xf numFmtId="0" fontId="79" fillId="0" borderId="0" xfId="0" applyFont="1" applyAlignment="1">
      <alignment horizontal="center"/>
    </xf>
    <xf numFmtId="0" fontId="77" fillId="0" borderId="0" xfId="0" applyFont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/>
    <xf numFmtId="0" fontId="2" fillId="0" borderId="5" xfId="0" applyFont="1" applyBorder="1"/>
    <xf numFmtId="0" fontId="79" fillId="0" borderId="9" xfId="0" applyFont="1" applyBorder="1" applyAlignment="1">
      <alignment horizontal="center"/>
    </xf>
    <xf numFmtId="0" fontId="64" fillId="0" borderId="9" xfId="0" applyFont="1" applyBorder="1"/>
    <xf numFmtId="0" fontId="70" fillId="0" borderId="0" xfId="0" applyFont="1" applyAlignment="1">
      <alignment horizontal="center"/>
    </xf>
    <xf numFmtId="0" fontId="64" fillId="0" borderId="10" xfId="0" applyFont="1" applyBorder="1"/>
    <xf numFmtId="0" fontId="70" fillId="0" borderId="0" xfId="0" applyFont="1"/>
    <xf numFmtId="0" fontId="70" fillId="0" borderId="0" xfId="0" applyFont="1" applyAlignment="1">
      <alignment horizontal="center" vertical="center"/>
    </xf>
    <xf numFmtId="0" fontId="64" fillId="0" borderId="5" xfId="0" applyFont="1" applyBorder="1"/>
    <xf numFmtId="0" fontId="1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56" fillId="2" borderId="6" xfId="0" applyFont="1" applyFill="1" applyBorder="1" applyAlignment="1">
      <alignment horizontal="center" vertical="center" wrapText="1"/>
    </xf>
    <xf numFmtId="0" fontId="58" fillId="0" borderId="7" xfId="0" applyFont="1" applyBorder="1"/>
    <xf numFmtId="0" fontId="58" fillId="0" borderId="8" xfId="0" applyFont="1" applyBorder="1"/>
    <xf numFmtId="0" fontId="56" fillId="0" borderId="0" xfId="0" applyFont="1" applyAlignment="1">
      <alignment horizontal="center" vertical="center" wrapText="1"/>
    </xf>
    <xf numFmtId="0" fontId="57" fillId="0" borderId="0" xfId="0" applyFont="1"/>
    <xf numFmtId="0" fontId="58" fillId="0" borderId="5" xfId="0" applyFon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63" fillId="0" borderId="2" xfId="0" applyFont="1" applyBorder="1" applyAlignment="1">
      <alignment horizontal="center"/>
    </xf>
    <xf numFmtId="0" fontId="64" fillId="0" borderId="2" xfId="0" applyFont="1" applyBorder="1"/>
    <xf numFmtId="0" fontId="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164" fontId="80" fillId="0" borderId="55" xfId="0" applyNumberFormat="1" applyFont="1" applyBorder="1" applyAlignment="1">
      <alignment horizontal="center" vertical="center"/>
    </xf>
    <xf numFmtId="164" fontId="80" fillId="0" borderId="8" xfId="0" applyNumberFormat="1" applyFont="1" applyBorder="1" applyAlignment="1">
      <alignment horizontal="center" vertical="center"/>
    </xf>
    <xf numFmtId="0" fontId="80" fillId="0" borderId="0" xfId="0" applyFont="1" applyAlignment="1">
      <alignment horizontal="right" vertical="center"/>
    </xf>
    <xf numFmtId="0" fontId="22" fillId="0" borderId="27" xfId="0" applyFont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0" fontId="18" fillId="0" borderId="39" xfId="0" applyFont="1" applyBorder="1" applyAlignment="1">
      <alignment horizontal="center" vertical="center"/>
    </xf>
    <xf numFmtId="0" fontId="2" fillId="0" borderId="9" xfId="0" applyFont="1" applyBorder="1"/>
    <xf numFmtId="0" fontId="2" fillId="0" borderId="47" xfId="0" applyFont="1" applyBorder="1"/>
    <xf numFmtId="0" fontId="2" fillId="0" borderId="48" xfId="0" applyFont="1" applyBorder="1"/>
    <xf numFmtId="0" fontId="69" fillId="0" borderId="9" xfId="0" applyFont="1" applyBorder="1" applyAlignment="1">
      <alignment horizontal="center"/>
    </xf>
    <xf numFmtId="0" fontId="69" fillId="0" borderId="0" xfId="0" applyFont="1" applyAlignment="1">
      <alignment horizontal="center"/>
    </xf>
    <xf numFmtId="164" fontId="22" fillId="0" borderId="39" xfId="0" applyNumberFormat="1" applyFont="1" applyBorder="1" applyAlignment="1">
      <alignment horizontal="center" vertical="center"/>
    </xf>
    <xf numFmtId="0" fontId="2" fillId="0" borderId="40" xfId="0" applyFont="1" applyBorder="1"/>
    <xf numFmtId="0" fontId="2" fillId="0" borderId="22" xfId="0" applyFont="1" applyBorder="1"/>
    <xf numFmtId="0" fontId="2" fillId="0" borderId="25" xfId="0" applyFont="1" applyBorder="1"/>
    <xf numFmtId="0" fontId="2" fillId="0" borderId="23" xfId="0" applyFont="1" applyBorder="1"/>
    <xf numFmtId="0" fontId="18" fillId="4" borderId="4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1" fillId="0" borderId="44" xfId="0" applyFont="1" applyBorder="1" applyAlignment="1">
      <alignment horizontal="center" vertical="center" wrapText="1"/>
    </xf>
    <xf numFmtId="0" fontId="2" fillId="0" borderId="45" xfId="0" applyFont="1" applyBorder="1"/>
    <xf numFmtId="0" fontId="1" fillId="0" borderId="9" xfId="0" applyFont="1" applyBorder="1" applyAlignment="1">
      <alignment horizontal="center"/>
    </xf>
    <xf numFmtId="0" fontId="2" fillId="0" borderId="46" xfId="0" applyFont="1" applyBorder="1"/>
    <xf numFmtId="0" fontId="2" fillId="0" borderId="21" xfId="0" applyFont="1" applyBorder="1"/>
    <xf numFmtId="0" fontId="56" fillId="0" borderId="14" xfId="0" applyFont="1" applyBorder="1" applyAlignment="1">
      <alignment horizontal="center" vertical="center" wrapText="1"/>
    </xf>
    <xf numFmtId="0" fontId="82" fillId="0" borderId="17" xfId="0" applyFont="1" applyBorder="1"/>
    <xf numFmtId="0" fontId="82" fillId="0" borderId="18" xfId="0" applyFont="1" applyBorder="1"/>
    <xf numFmtId="0" fontId="82" fillId="0" borderId="19" xfId="0" applyFont="1" applyBorder="1"/>
    <xf numFmtId="0" fontId="78" fillId="0" borderId="0" xfId="0" applyFont="1"/>
    <xf numFmtId="0" fontId="82" fillId="0" borderId="21" xfId="0" applyFont="1" applyBorder="1"/>
    <xf numFmtId="0" fontId="82" fillId="0" borderId="47" xfId="0" applyFont="1" applyBorder="1"/>
    <xf numFmtId="0" fontId="82" fillId="0" borderId="48" xfId="0" applyFont="1" applyBorder="1"/>
    <xf numFmtId="0" fontId="82" fillId="0" borderId="49" xfId="0" applyFont="1" applyBorder="1"/>
    <xf numFmtId="0" fontId="22" fillId="0" borderId="27" xfId="0" applyFont="1" applyBorder="1" applyAlignment="1">
      <alignment horizontal="center" vertical="center"/>
    </xf>
    <xf numFmtId="0" fontId="2" fillId="0" borderId="30" xfId="0" applyFont="1" applyBorder="1"/>
    <xf numFmtId="0" fontId="22" fillId="4" borderId="31" xfId="0" applyFont="1" applyFill="1" applyBorder="1" applyAlignment="1">
      <alignment horizontal="center" wrapText="1"/>
    </xf>
    <xf numFmtId="164" fontId="18" fillId="4" borderId="43" xfId="0" applyNumberFormat="1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10" fillId="0" borderId="39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/>
    </xf>
    <xf numFmtId="0" fontId="1" fillId="0" borderId="27" xfId="0" applyFont="1" applyBorder="1"/>
    <xf numFmtId="0" fontId="10" fillId="0" borderId="27" xfId="0" applyFont="1" applyBorder="1" applyAlignment="1">
      <alignment horizontal="center"/>
    </xf>
    <xf numFmtId="0" fontId="70" fillId="0" borderId="27" xfId="0" applyFont="1" applyBorder="1" applyAlignment="1">
      <alignment horizontal="left" vertical="center"/>
    </xf>
    <xf numFmtId="0" fontId="64" fillId="0" borderId="30" xfId="0" applyFont="1" applyBorder="1"/>
    <xf numFmtId="164" fontId="69" fillId="0" borderId="28" xfId="0" applyNumberFormat="1" applyFont="1" applyBorder="1" applyAlignment="1">
      <alignment horizontal="center" vertical="center"/>
    </xf>
    <xf numFmtId="0" fontId="64" fillId="0" borderId="28" xfId="0" applyFont="1" applyBorder="1"/>
    <xf numFmtId="0" fontId="64" fillId="0" borderId="29" xfId="0" applyFont="1" applyBorder="1"/>
    <xf numFmtId="0" fontId="70" fillId="3" borderId="34" xfId="0" applyFont="1" applyFill="1" applyBorder="1" applyAlignment="1">
      <alignment horizontal="left" vertical="center" wrapText="1"/>
    </xf>
    <xf numFmtId="0" fontId="64" fillId="0" borderId="35" xfId="0" applyFont="1" applyBorder="1"/>
    <xf numFmtId="0" fontId="69" fillId="4" borderId="36" xfId="0" applyFont="1" applyFill="1" applyBorder="1" applyAlignment="1">
      <alignment horizontal="center" vertical="center" wrapText="1"/>
    </xf>
    <xf numFmtId="0" fontId="64" fillId="0" borderId="37" xfId="0" applyFont="1" applyBorder="1"/>
    <xf numFmtId="0" fontId="64" fillId="0" borderId="38" xfId="0" applyFont="1" applyBorder="1"/>
    <xf numFmtId="0" fontId="14" fillId="0" borderId="14" xfId="0" applyFont="1" applyBorder="1" applyAlignment="1">
      <alignment horizontal="center" vertical="center" wrapText="1"/>
    </xf>
    <xf numFmtId="0" fontId="2" fillId="0" borderId="17" xfId="0" applyFont="1" applyBorder="1"/>
    <xf numFmtId="0" fontId="2" fillId="0" borderId="18" xfId="0" applyFont="1" applyBorder="1"/>
    <xf numFmtId="0" fontId="21" fillId="0" borderId="0" xfId="0" applyFont="1" applyAlignment="1">
      <alignment horizontal="center" vertical="center"/>
    </xf>
    <xf numFmtId="0" fontId="21" fillId="3" borderId="6" xfId="0" applyFont="1" applyFill="1" applyBorder="1" applyAlignment="1">
      <alignment horizontal="center" vertical="center" wrapText="1"/>
    </xf>
    <xf numFmtId="0" fontId="2" fillId="0" borderId="33" xfId="0" applyFont="1" applyBorder="1"/>
    <xf numFmtId="0" fontId="18" fillId="0" borderId="14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68" fillId="0" borderId="24" xfId="0" applyFont="1" applyBorder="1" applyAlignment="1">
      <alignment horizontal="center" vertical="center" wrapText="1"/>
    </xf>
    <xf numFmtId="0" fontId="64" fillId="0" borderId="25" xfId="0" applyFont="1" applyBorder="1"/>
    <xf numFmtId="0" fontId="20" fillId="0" borderId="27" xfId="0" applyFont="1" applyBorder="1" applyAlignment="1">
      <alignment horizontal="center" vertical="center" wrapText="1"/>
    </xf>
    <xf numFmtId="0" fontId="56" fillId="0" borderId="28" xfId="0" applyFont="1" applyBorder="1" applyAlignment="1">
      <alignment horizontal="center" vertical="center" wrapText="1"/>
    </xf>
    <xf numFmtId="0" fontId="69" fillId="0" borderId="28" xfId="0" applyFont="1" applyBorder="1" applyAlignment="1">
      <alignment horizontal="center" vertical="center" wrapText="1"/>
    </xf>
    <xf numFmtId="0" fontId="70" fillId="0" borderId="27" xfId="0" applyFont="1" applyBorder="1" applyAlignment="1">
      <alignment horizontal="left" vertical="center" wrapText="1"/>
    </xf>
    <xf numFmtId="0" fontId="69" fillId="0" borderId="31" xfId="0" applyFont="1" applyBorder="1" applyAlignment="1">
      <alignment horizontal="center" vertical="center" wrapText="1"/>
    </xf>
    <xf numFmtId="0" fontId="66" fillId="0" borderId="16" xfId="0" applyFont="1" applyBorder="1" applyAlignment="1">
      <alignment horizontal="center" vertical="center" wrapText="1"/>
    </xf>
    <xf numFmtId="0" fontId="66" fillId="0" borderId="51" xfId="0" applyFont="1" applyBorder="1" applyAlignment="1">
      <alignment horizontal="center" vertical="center" wrapText="1"/>
    </xf>
    <xf numFmtId="0" fontId="65" fillId="0" borderId="54" xfId="0" applyFont="1" applyBorder="1" applyAlignment="1">
      <alignment horizontal="center" vertical="center"/>
    </xf>
    <xf numFmtId="0" fontId="65" fillId="0" borderId="55" xfId="0" applyFont="1" applyBorder="1" applyAlignment="1">
      <alignment horizontal="center" vertical="center"/>
    </xf>
    <xf numFmtId="0" fontId="30" fillId="0" borderId="107" xfId="0" applyFont="1" applyBorder="1" applyAlignment="1">
      <alignment horizontal="left" vertical="center"/>
    </xf>
    <xf numFmtId="0" fontId="2" fillId="0" borderId="95" xfId="0" applyFont="1" applyBorder="1"/>
    <xf numFmtId="0" fontId="2" fillId="0" borderId="94" xfId="0" applyFont="1" applyBorder="1"/>
    <xf numFmtId="0" fontId="30" fillId="0" borderId="93" xfId="0" applyFont="1" applyBorder="1" applyAlignment="1">
      <alignment horizontal="center" vertical="center"/>
    </xf>
    <xf numFmtId="0" fontId="2" fillId="0" borderId="96" xfId="0" applyFont="1" applyBorder="1"/>
    <xf numFmtId="167" fontId="61" fillId="4" borderId="31" xfId="0" applyNumberFormat="1" applyFont="1" applyFill="1" applyBorder="1" applyAlignment="1">
      <alignment horizontal="center" vertical="center"/>
    </xf>
    <xf numFmtId="0" fontId="62" fillId="0" borderId="28" xfId="0" applyFont="1" applyBorder="1"/>
    <xf numFmtId="0" fontId="62" fillId="0" borderId="29" xfId="0" applyFont="1" applyBorder="1"/>
    <xf numFmtId="165" fontId="27" fillId="0" borderId="0" xfId="0" applyNumberFormat="1" applyFont="1" applyAlignment="1">
      <alignment horizontal="center" vertical="center"/>
    </xf>
    <xf numFmtId="0" fontId="38" fillId="0" borderId="107" xfId="0" applyFont="1" applyBorder="1" applyAlignment="1">
      <alignment horizontal="left" vertical="center"/>
    </xf>
    <xf numFmtId="170" fontId="30" fillId="4" borderId="93" xfId="0" applyNumberFormat="1" applyFont="1" applyFill="1" applyBorder="1" applyAlignment="1">
      <alignment horizontal="center" vertical="center"/>
    </xf>
    <xf numFmtId="1" fontId="30" fillId="4" borderId="93" xfId="0" applyNumberFormat="1" applyFont="1" applyFill="1" applyBorder="1" applyAlignment="1">
      <alignment horizontal="center" vertical="center"/>
    </xf>
    <xf numFmtId="165" fontId="61" fillId="4" borderId="108" xfId="0" applyNumberFormat="1" applyFont="1" applyFill="1" applyBorder="1" applyAlignment="1">
      <alignment horizontal="center" vertical="center"/>
    </xf>
    <xf numFmtId="0" fontId="62" fillId="0" borderId="109" xfId="0" applyFont="1" applyBorder="1"/>
    <xf numFmtId="0" fontId="62" fillId="0" borderId="110" xfId="0" applyFont="1" applyBorder="1"/>
    <xf numFmtId="0" fontId="30" fillId="0" borderId="111" xfId="0" applyFont="1" applyBorder="1" applyAlignment="1">
      <alignment horizontal="left" vertical="center"/>
    </xf>
    <xf numFmtId="0" fontId="2" fillId="0" borderId="102" xfId="0" applyFont="1" applyBorder="1"/>
    <xf numFmtId="0" fontId="2" fillId="0" borderId="103" xfId="0" applyFont="1" applyBorder="1"/>
    <xf numFmtId="166" fontId="35" fillId="0" borderId="104" xfId="0" applyNumberFormat="1" applyFont="1" applyBorder="1" applyAlignment="1">
      <alignment horizontal="center" vertical="center"/>
    </xf>
    <xf numFmtId="0" fontId="2" fillId="0" borderId="105" xfId="0" applyFont="1" applyBorder="1"/>
    <xf numFmtId="0" fontId="30" fillId="0" borderId="0" xfId="0" applyFont="1" applyAlignment="1">
      <alignment horizontal="center" vertical="center"/>
    </xf>
    <xf numFmtId="167" fontId="30" fillId="0" borderId="64" xfId="0" applyNumberFormat="1" applyFont="1" applyBorder="1" applyAlignment="1">
      <alignment horizontal="left" vertical="center"/>
    </xf>
    <xf numFmtId="0" fontId="2" fillId="0" borderId="65" xfId="0" applyFont="1" applyBorder="1"/>
    <xf numFmtId="167" fontId="35" fillId="0" borderId="64" xfId="0" applyNumberFormat="1" applyFont="1" applyBorder="1" applyAlignment="1">
      <alignment horizontal="center" vertical="center"/>
    </xf>
    <xf numFmtId="0" fontId="2" fillId="0" borderId="70" xfId="0" applyFont="1" applyBorder="1"/>
    <xf numFmtId="0" fontId="3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0" fillId="0" borderId="106" xfId="0" applyFont="1" applyBorder="1" applyAlignment="1">
      <alignment horizontal="left" vertical="center"/>
    </xf>
    <xf numFmtId="0" fontId="2" fillId="0" borderId="90" xfId="0" applyFont="1" applyBorder="1"/>
    <xf numFmtId="0" fontId="2" fillId="0" borderId="89" xfId="0" applyFont="1" applyBorder="1"/>
    <xf numFmtId="0" fontId="30" fillId="0" borderId="88" xfId="0" applyFont="1" applyBorder="1" applyAlignment="1">
      <alignment horizontal="center" vertical="center"/>
    </xf>
    <xf numFmtId="0" fontId="2" fillId="0" borderId="91" xfId="0" applyFont="1" applyBorder="1"/>
    <xf numFmtId="0" fontId="35" fillId="0" borderId="93" xfId="0" applyFont="1" applyBorder="1" applyAlignment="1">
      <alignment horizontal="center" vertical="center"/>
    </xf>
    <xf numFmtId="0" fontId="26" fillId="0" borderId="93" xfId="0" applyFont="1" applyBorder="1" applyAlignment="1">
      <alignment horizontal="center" vertical="center"/>
    </xf>
    <xf numFmtId="169" fontId="35" fillId="0" borderId="93" xfId="0" applyNumberFormat="1" applyFont="1" applyBorder="1" applyAlignment="1">
      <alignment horizontal="center" vertical="center"/>
    </xf>
    <xf numFmtId="169" fontId="30" fillId="0" borderId="93" xfId="0" applyNumberFormat="1" applyFont="1" applyBorder="1" applyAlignment="1">
      <alignment horizontal="center" vertical="center"/>
    </xf>
    <xf numFmtId="0" fontId="35" fillId="0" borderId="101" xfId="0" applyFont="1" applyBorder="1" applyAlignment="1">
      <alignment horizontal="left" vertical="center"/>
    </xf>
    <xf numFmtId="0" fontId="26" fillId="0" borderId="104" xfId="0" applyFont="1" applyBorder="1" applyAlignment="1">
      <alignment horizontal="center" vertical="center"/>
    </xf>
    <xf numFmtId="166" fontId="30" fillId="4" borderId="104" xfId="0" applyNumberFormat="1" applyFont="1" applyFill="1" applyBorder="1" applyAlignment="1">
      <alignment horizontal="center" vertical="center"/>
    </xf>
    <xf numFmtId="4" fontId="35" fillId="0" borderId="9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19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26" fillId="0" borderId="47" xfId="0" applyFont="1" applyBorder="1"/>
    <xf numFmtId="0" fontId="70" fillId="0" borderId="9" xfId="0" applyFont="1" applyBorder="1" applyAlignment="1">
      <alignment horizontal="center"/>
    </xf>
    <xf numFmtId="0" fontId="35" fillId="0" borderId="100" xfId="0" applyFont="1" applyBorder="1" applyAlignment="1">
      <alignment horizontal="left" vertical="center"/>
    </xf>
    <xf numFmtId="165" fontId="30" fillId="0" borderId="88" xfId="0" applyNumberFormat="1" applyFont="1" applyBorder="1" applyAlignment="1">
      <alignment horizontal="center" vertical="center"/>
    </xf>
    <xf numFmtId="165" fontId="35" fillId="0" borderId="88" xfId="0" applyNumberFormat="1" applyFont="1" applyBorder="1" applyAlignment="1">
      <alignment horizontal="center" vertical="center"/>
    </xf>
    <xf numFmtId="0" fontId="30" fillId="0" borderId="86" xfId="0" applyFont="1" applyBorder="1" applyAlignment="1">
      <alignment horizontal="center" vertical="center" wrapText="1"/>
    </xf>
    <xf numFmtId="0" fontId="2" fillId="0" borderId="67" xfId="0" applyFont="1" applyBorder="1"/>
    <xf numFmtId="0" fontId="2" fillId="0" borderId="87" xfId="0" applyFont="1" applyBorder="1"/>
    <xf numFmtId="0" fontId="2" fillId="0" borderId="92" xfId="0" applyFont="1" applyBorder="1"/>
    <xf numFmtId="0" fontId="2" fillId="0" borderId="97" xfId="0" applyFont="1" applyBorder="1"/>
    <xf numFmtId="0" fontId="2" fillId="0" borderId="98" xfId="0" applyFont="1" applyBorder="1"/>
    <xf numFmtId="0" fontId="2" fillId="0" borderId="99" xfId="0" applyFont="1" applyBorder="1"/>
    <xf numFmtId="0" fontId="27" fillId="0" borderId="84" xfId="0" applyFont="1" applyBorder="1" applyAlignment="1">
      <alignment horizontal="center" vertical="center"/>
    </xf>
    <xf numFmtId="0" fontId="2" fillId="0" borderId="83" xfId="0" applyFont="1" applyBorder="1"/>
    <xf numFmtId="0" fontId="35" fillId="0" borderId="88" xfId="0" applyFont="1" applyBorder="1" applyAlignment="1">
      <alignment horizontal="center" vertical="center"/>
    </xf>
    <xf numFmtId="165" fontId="30" fillId="4" borderId="88" xfId="0" applyNumberFormat="1" applyFont="1" applyFill="1" applyBorder="1" applyAlignment="1">
      <alignment horizontal="center" vertical="center"/>
    </xf>
    <xf numFmtId="0" fontId="27" fillId="0" borderId="76" xfId="0" applyFont="1" applyBorder="1" applyAlignment="1">
      <alignment horizontal="left" vertical="center"/>
    </xf>
    <xf numFmtId="0" fontId="2" fillId="0" borderId="77" xfId="0" applyFont="1" applyBorder="1"/>
    <xf numFmtId="0" fontId="2" fillId="0" borderId="78" xfId="0" applyFont="1" applyBorder="1"/>
    <xf numFmtId="0" fontId="27" fillId="0" borderId="79" xfId="0" applyFont="1" applyBorder="1" applyAlignment="1">
      <alignment horizontal="center" vertical="center"/>
    </xf>
    <xf numFmtId="3" fontId="27" fillId="0" borderId="79" xfId="0" applyNumberFormat="1" applyFont="1" applyBorder="1" applyAlignment="1">
      <alignment horizontal="center" vertical="center"/>
    </xf>
    <xf numFmtId="3" fontId="27" fillId="0" borderId="84" xfId="0" applyNumberFormat="1" applyFont="1" applyBorder="1" applyAlignment="1">
      <alignment horizontal="center" vertical="center"/>
    </xf>
    <xf numFmtId="0" fontId="2" fillId="0" borderId="82" xfId="0" applyFont="1" applyBorder="1"/>
    <xf numFmtId="0" fontId="2" fillId="0" borderId="85" xfId="0" applyFont="1" applyBorder="1"/>
    <xf numFmtId="0" fontId="27" fillId="0" borderId="81" xfId="0" applyFont="1" applyBorder="1" applyAlignment="1">
      <alignment horizontal="left" vertical="center"/>
    </xf>
    <xf numFmtId="4" fontId="27" fillId="0" borderId="79" xfId="0" applyNumberFormat="1" applyFont="1" applyBorder="1" applyAlignment="1">
      <alignment horizontal="center" vertical="center"/>
    </xf>
    <xf numFmtId="0" fontId="2" fillId="0" borderId="80" xfId="0" applyFont="1" applyBorder="1"/>
    <xf numFmtId="3" fontId="30" fillId="0" borderId="79" xfId="0" applyNumberFormat="1" applyFont="1" applyBorder="1" applyAlignment="1">
      <alignment horizontal="center" vertical="center"/>
    </xf>
    <xf numFmtId="167" fontId="27" fillId="0" borderId="79" xfId="0" applyNumberFormat="1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0" fontId="28" fillId="0" borderId="74" xfId="0" applyFont="1" applyBorder="1" applyAlignment="1">
      <alignment horizontal="center" vertical="center"/>
    </xf>
    <xf numFmtId="0" fontId="2" fillId="0" borderId="75" xfId="0" applyFont="1" applyBorder="1"/>
    <xf numFmtId="0" fontId="33" fillId="0" borderId="63" xfId="0" applyFont="1" applyBorder="1" applyAlignment="1">
      <alignment horizontal="left" vertical="center"/>
    </xf>
    <xf numFmtId="0" fontId="2" fillId="0" borderId="64" xfId="0" applyFont="1" applyBorder="1"/>
    <xf numFmtId="166" fontId="28" fillId="0" borderId="64" xfId="0" applyNumberFormat="1" applyFont="1" applyBorder="1" applyAlignment="1">
      <alignment horizontal="center" vertical="center"/>
    </xf>
    <xf numFmtId="0" fontId="33" fillId="0" borderId="28" xfId="0" applyFont="1" applyBorder="1" applyAlignment="1">
      <alignment horizontal="left" vertical="center"/>
    </xf>
    <xf numFmtId="3" fontId="28" fillId="0" borderId="64" xfId="0" applyNumberFormat="1" applyFont="1" applyBorder="1" applyAlignment="1">
      <alignment horizontal="center" vertical="center"/>
    </xf>
    <xf numFmtId="0" fontId="27" fillId="0" borderId="71" xfId="0" applyFont="1" applyBorder="1" applyAlignment="1">
      <alignment horizontal="left" vertical="center"/>
    </xf>
    <xf numFmtId="0" fontId="70" fillId="3" borderId="27" xfId="0" applyFont="1" applyFill="1" applyBorder="1" applyAlignment="1">
      <alignment vertical="center"/>
    </xf>
    <xf numFmtId="0" fontId="69" fillId="3" borderId="31" xfId="0" applyFont="1" applyFill="1" applyBorder="1" applyAlignment="1">
      <alignment horizontal="center" vertical="center" wrapText="1"/>
    </xf>
    <xf numFmtId="164" fontId="69" fillId="3" borderId="31" xfId="0" applyNumberFormat="1" applyFont="1" applyFill="1" applyBorder="1" applyAlignment="1">
      <alignment horizontal="center" vertical="center"/>
    </xf>
    <xf numFmtId="0" fontId="69" fillId="3" borderId="31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/>
    </xf>
    <xf numFmtId="0" fontId="34" fillId="0" borderId="64" xfId="0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34" fillId="0" borderId="67" xfId="0" applyFont="1" applyBorder="1" applyAlignment="1">
      <alignment horizontal="center" vertical="center"/>
    </xf>
    <xf numFmtId="0" fontId="2" fillId="0" borderId="68" xfId="0" applyFont="1" applyBorder="1"/>
    <xf numFmtId="0" fontId="33" fillId="0" borderId="69" xfId="0" applyFont="1" applyBorder="1" applyAlignment="1">
      <alignment horizontal="center" vertical="center"/>
    </xf>
    <xf numFmtId="3" fontId="34" fillId="0" borderId="69" xfId="0" applyNumberFormat="1" applyFont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 wrapText="1"/>
    </xf>
    <xf numFmtId="0" fontId="29" fillId="3" borderId="51" xfId="0" applyFont="1" applyFill="1" applyBorder="1" applyAlignment="1">
      <alignment horizontal="center" vertical="center" wrapText="1"/>
    </xf>
    <xf numFmtId="0" fontId="2" fillId="0" borderId="53" xfId="0" applyFont="1" applyBorder="1"/>
    <xf numFmtId="0" fontId="2" fillId="0" borderId="59" xfId="0" applyFont="1" applyBorder="1"/>
    <xf numFmtId="0" fontId="2" fillId="0" borderId="26" xfId="0" applyFont="1" applyBorder="1"/>
    <xf numFmtId="0" fontId="72" fillId="3" borderId="56" xfId="0" applyFont="1" applyFill="1" applyBorder="1" applyAlignment="1">
      <alignment horizontal="center" vertical="center"/>
    </xf>
    <xf numFmtId="0" fontId="64" fillId="0" borderId="57" xfId="0" applyFont="1" applyBorder="1"/>
    <xf numFmtId="0" fontId="64" fillId="0" borderId="58" xfId="0" applyFont="1" applyBorder="1"/>
    <xf numFmtId="0" fontId="31" fillId="3" borderId="27" xfId="0" applyFont="1" applyFill="1" applyBorder="1" applyAlignment="1">
      <alignment horizontal="center" vertical="center"/>
    </xf>
    <xf numFmtId="0" fontId="71" fillId="3" borderId="16" xfId="0" applyFont="1" applyFill="1" applyBorder="1" applyAlignment="1">
      <alignment horizontal="center" vertical="center" wrapText="1"/>
    </xf>
    <xf numFmtId="0" fontId="71" fillId="3" borderId="51" xfId="0" applyFont="1" applyFill="1" applyBorder="1" applyAlignment="1">
      <alignment horizontal="center" vertical="center" wrapText="1"/>
    </xf>
    <xf numFmtId="0" fontId="71" fillId="3" borderId="54" xfId="0" applyFont="1" applyFill="1" applyBorder="1" applyAlignment="1">
      <alignment horizontal="center" vertical="center" wrapText="1"/>
    </xf>
    <xf numFmtId="0" fontId="71" fillId="3" borderId="55" xfId="0" applyFont="1" applyFill="1" applyBorder="1" applyAlignment="1">
      <alignment horizontal="center" vertical="center" wrapText="1"/>
    </xf>
    <xf numFmtId="0" fontId="73" fillId="0" borderId="54" xfId="0" applyFont="1" applyBorder="1" applyAlignment="1">
      <alignment horizontal="center"/>
    </xf>
    <xf numFmtId="0" fontId="73" fillId="0" borderId="55" xfId="0" applyFont="1" applyBorder="1" applyAlignment="1">
      <alignment horizontal="center"/>
    </xf>
    <xf numFmtId="0" fontId="83" fillId="0" borderId="27" xfId="0" applyFont="1" applyBorder="1" applyAlignment="1">
      <alignment horizontal="left" vertical="center"/>
    </xf>
    <xf numFmtId="0" fontId="46" fillId="0" borderId="28" xfId="0" applyFont="1" applyBorder="1" applyAlignment="1">
      <alignment horizontal="left" vertical="center"/>
    </xf>
    <xf numFmtId="0" fontId="46" fillId="0" borderId="30" xfId="0" applyFont="1" applyBorder="1" applyAlignment="1">
      <alignment horizontal="left" vertical="center"/>
    </xf>
    <xf numFmtId="0" fontId="46" fillId="0" borderId="27" xfId="0" applyFont="1" applyBorder="1" applyAlignment="1">
      <alignment horizontal="left" vertical="center"/>
    </xf>
    <xf numFmtId="0" fontId="46" fillId="0" borderId="27" xfId="0" applyFont="1" applyBorder="1" applyAlignment="1">
      <alignment horizontal="left" vertical="center" wrapText="1"/>
    </xf>
    <xf numFmtId="0" fontId="69" fillId="0" borderId="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" fillId="0" borderId="118" xfId="0" applyFont="1" applyBorder="1"/>
    <xf numFmtId="0" fontId="56" fillId="3" borderId="43" xfId="0" applyFont="1" applyFill="1" applyBorder="1" applyAlignment="1">
      <alignment horizontal="center" vertical="center" wrapText="1"/>
    </xf>
    <xf numFmtId="0" fontId="82" fillId="0" borderId="9" xfId="0" applyFont="1" applyBorder="1"/>
    <xf numFmtId="0" fontId="82" fillId="0" borderId="46" xfId="0" applyFont="1" applyBorder="1"/>
    <xf numFmtId="0" fontId="82" fillId="0" borderId="119" xfId="0" applyFont="1" applyBorder="1"/>
    <xf numFmtId="0" fontId="1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70" fillId="0" borderId="27" xfId="0" applyFont="1" applyBorder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72" fillId="0" borderId="24" xfId="0" applyFont="1" applyBorder="1" applyAlignment="1">
      <alignment horizontal="center" vertical="center"/>
    </xf>
    <xf numFmtId="0" fontId="64" fillId="0" borderId="28" xfId="0" applyFont="1" applyBorder="1" applyAlignment="1">
      <alignment wrapText="1"/>
    </xf>
    <xf numFmtId="0" fontId="64" fillId="0" borderId="29" xfId="0" applyFont="1" applyBorder="1" applyAlignment="1">
      <alignment wrapText="1"/>
    </xf>
    <xf numFmtId="0" fontId="74" fillId="0" borderId="16" xfId="0" applyFont="1" applyBorder="1" applyAlignment="1">
      <alignment horizontal="center" vertical="center"/>
    </xf>
    <xf numFmtId="0" fontId="74" fillId="0" borderId="51" xfId="0" applyFont="1" applyBorder="1" applyAlignment="1">
      <alignment horizontal="center" vertical="center"/>
    </xf>
    <xf numFmtId="0" fontId="65" fillId="0" borderId="54" xfId="0" applyFont="1" applyBorder="1" applyAlignment="1">
      <alignment horizontal="center" vertical="top"/>
    </xf>
    <xf numFmtId="0" fontId="65" fillId="0" borderId="55" xfId="0" applyFont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5" Type="http://customschemas.google.com/relationships/workbookmetadata" Target="metadata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22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0763589657675769"/>
          <c:y val="8.9362148880326148E-2"/>
          <c:w val="0.84980376389121559"/>
          <c:h val="0.7290793544423998"/>
        </c:manualLayout>
      </c:layout>
      <c:scatterChart>
        <c:scatterStyle val="lineMarker"/>
        <c:varyColors val="0"/>
        <c:ser>
          <c:idx val="0"/>
          <c:order val="0"/>
          <c:spPr>
            <a:ln w="9525">
              <a:solidFill>
                <a:schemeClr val="bg1">
                  <a:lumMod val="95000"/>
                </a:schemeClr>
              </a:solidFill>
            </a:ln>
          </c:spPr>
          <c:marker>
            <c:symbol val="circle"/>
            <c:size val="7"/>
            <c:spPr>
              <a:solidFill>
                <a:srgbClr val="003300"/>
              </a:solidFill>
              <a:ln cmpd="sng">
                <a:solidFill>
                  <a:srgbClr val="003300"/>
                </a:solidFill>
              </a:ln>
            </c:spPr>
          </c:marker>
          <c:trendline>
            <c:trendlineType val="poly"/>
            <c:order val="4"/>
            <c:dispRSqr val="0"/>
            <c:dispEq val="0"/>
          </c:trendline>
          <c:xVal>
            <c:numRef>
              <c:f>PROCTOR!$AN$27:$AN$31</c:f>
              <c:numCache>
                <c:formatCode>0.0</c:formatCode>
                <c:ptCount val="5"/>
                <c:pt idx="0">
                  <c:v>2.4</c:v>
                </c:pt>
                <c:pt idx="1">
                  <c:v>5.3</c:v>
                </c:pt>
                <c:pt idx="2">
                  <c:v>8.1</c:v>
                </c:pt>
                <c:pt idx="3">
                  <c:v>10.8</c:v>
                </c:pt>
                <c:pt idx="4">
                  <c:v>13.600000000000001</c:v>
                </c:pt>
              </c:numCache>
            </c:numRef>
          </c:xVal>
          <c:yVal>
            <c:numRef>
              <c:f>PROCTOR!$AO$27:$AO$31</c:f>
              <c:numCache>
                <c:formatCode>#,##0.000</c:formatCode>
                <c:ptCount val="5"/>
                <c:pt idx="0">
                  <c:v>1.8145027807203389</c:v>
                </c:pt>
                <c:pt idx="1">
                  <c:v>1.8611070870957875</c:v>
                </c:pt>
                <c:pt idx="2">
                  <c:v>1.9059957039150817</c:v>
                </c:pt>
                <c:pt idx="3">
                  <c:v>1.8576378265924249</c:v>
                </c:pt>
                <c:pt idx="4">
                  <c:v>1.7997284554786348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C1-499F-BEF6-07C4D7312122}"/>
            </c:ext>
          </c:extLst>
        </c:ser>
        <c:ser>
          <c:idx val="1"/>
          <c:order val="1"/>
          <c:spPr>
            <a:ln w="19050">
              <a:solidFill>
                <a:srgbClr val="C00000"/>
              </a:solidFill>
            </a:ln>
          </c:spPr>
          <c:xVal>
            <c:numRef>
              <c:f>PROCTOR!$AQ$41:$AQ$42</c:f>
              <c:numCache>
                <c:formatCode>0.0</c:formatCode>
                <c:ptCount val="2"/>
                <c:pt idx="0">
                  <c:v>0</c:v>
                </c:pt>
                <c:pt idx="1">
                  <c:v>8.1</c:v>
                </c:pt>
              </c:numCache>
            </c:numRef>
          </c:xVal>
          <c:yVal>
            <c:numRef>
              <c:f>PROCTOR!$AR$41:$AR$42</c:f>
              <c:numCache>
                <c:formatCode>0.000</c:formatCode>
                <c:ptCount val="2"/>
                <c:pt idx="0">
                  <c:v>1.9059957039150819</c:v>
                </c:pt>
                <c:pt idx="1">
                  <c:v>1.9059957039150819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6-4205-85F7-CBA9681C6167}"/>
            </c:ext>
          </c:extLst>
        </c:ser>
        <c:ser>
          <c:idx val="2"/>
          <c:order val="2"/>
          <c:spPr>
            <a:ln w="19050">
              <a:noFill/>
            </a:ln>
          </c:spPr>
          <c:xVal>
            <c:numRef>
              <c:f>PROCTOR!$AQ$41:$AR$41</c:f>
              <c:numCache>
                <c:formatCode>0.000</c:formatCode>
                <c:ptCount val="2"/>
                <c:pt idx="0" formatCode="0.0">
                  <c:v>0</c:v>
                </c:pt>
                <c:pt idx="1">
                  <c:v>1.9059957039150819</c:v>
                </c:pt>
              </c:numCache>
            </c:numRef>
          </c:xVal>
          <c:yVal>
            <c:numRef>
              <c:f>PROCTOR!$AQ$42:$AR$42</c:f>
              <c:numCache>
                <c:formatCode>0.000</c:formatCode>
                <c:ptCount val="2"/>
                <c:pt idx="0" formatCode="0.0">
                  <c:v>8.1</c:v>
                </c:pt>
                <c:pt idx="1">
                  <c:v>1.9059957039150819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86-4205-85F7-CBA9681C6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102129"/>
        <c:axId val="1691472856"/>
      </c:scatterChart>
      <c:valAx>
        <c:axId val="1624102129"/>
        <c:scaling>
          <c:orientation val="minMax"/>
          <c:max val="14.1"/>
          <c:min val="1.9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00000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b="1" i="0">
                    <a:solidFill>
                      <a:srgbClr val="000000"/>
                    </a:solidFill>
                    <a:latin typeface="Calibri"/>
                  </a:rPr>
                  <a:t>Humedad, %</a:t>
                </a:r>
              </a:p>
            </c:rich>
          </c:tx>
          <c:layout>
            <c:manualLayout>
              <c:xMode val="edge"/>
              <c:yMode val="edge"/>
              <c:x val="0.45106382978723408"/>
              <c:y val="0.89361880828726159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691472856"/>
        <c:crosses val="autoZero"/>
        <c:crossBetween val="midCat"/>
        <c:majorUnit val="2"/>
        <c:minorUnit val="1"/>
      </c:valAx>
      <c:valAx>
        <c:axId val="1691472856"/>
        <c:scaling>
          <c:orientation val="minMax"/>
          <c:max val="1.91"/>
          <c:min val="1.790000000000000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b="1" i="0">
                    <a:solidFill>
                      <a:srgbClr val="000000"/>
                    </a:solidFill>
                    <a:latin typeface="Calibri"/>
                  </a:rPr>
                  <a:t>Peso Unitario Seco, g/cc</a:t>
                </a:r>
              </a:p>
            </c:rich>
          </c:tx>
          <c:layout>
            <c:manualLayout>
              <c:xMode val="edge"/>
              <c:yMode val="edge"/>
              <c:x val="1.0638297872340063E-2"/>
              <c:y val="0.18297917015692669"/>
            </c:manualLayout>
          </c:layout>
          <c:overlay val="0"/>
        </c:title>
        <c:numFmt formatCode="#,##0.000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624102129"/>
        <c:crosses val="autoZero"/>
        <c:crossBetween val="midCat"/>
        <c:majorUnit val="2.0000000000000004E-2"/>
        <c:minorUnit val="5.000000000000001E-3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4724400</xdr:colOff>
      <xdr:row>0</xdr:row>
      <xdr:rowOff>95250</xdr:rowOff>
    </xdr:from>
    <xdr:ext cx="0" cy="1924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781050</xdr:colOff>
      <xdr:row>0</xdr:row>
      <xdr:rowOff>95250</xdr:rowOff>
    </xdr:from>
    <xdr:ext cx="2524125" cy="14192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6950" y="95250"/>
          <a:ext cx="2524125" cy="1419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1076325</xdr:colOff>
      <xdr:row>0</xdr:row>
      <xdr:rowOff>38100</xdr:rowOff>
    </xdr:from>
    <xdr:ext cx="1924050" cy="118110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33</xdr:row>
      <xdr:rowOff>47625</xdr:rowOff>
    </xdr:from>
    <xdr:ext cx="5019675" cy="2238375"/>
    <xdr:graphicFrame macro="">
      <xdr:nvGraphicFramePr>
        <xdr:cNvPr id="461786798" name="Chart 1">
          <a:extLst>
            <a:ext uri="{FF2B5EF4-FFF2-40B4-BE49-F238E27FC236}">
              <a16:creationId xmlns:a16="http://schemas.microsoft.com/office/drawing/2014/main" id="{00000000-0008-0000-0200-0000AE4E8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29</xdr:col>
      <xdr:colOff>361950</xdr:colOff>
      <xdr:row>0</xdr:row>
      <xdr:rowOff>38100</xdr:rowOff>
    </xdr:from>
    <xdr:ext cx="1762125" cy="895350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1123950</xdr:colOff>
      <xdr:row>0</xdr:row>
      <xdr:rowOff>38100</xdr:rowOff>
    </xdr:from>
    <xdr:ext cx="2143125" cy="1238250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0450" y="38100"/>
          <a:ext cx="2143125" cy="1238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UEL%20CASTELLANOS\Ensayo%20C.B.R.%20-%20Terraple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ROYECTOS/PROYECTO%20ROSARIO-GENOVA-1/MANUEL%20CASTELLANOS/Ensayo%20C.B.R.%20-%20Terraple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jo/OneDrive/Escritorio/PROYECTOS%20RECIENTES/ALEX%20TORRES%20TIGO%20HUEHUE/Users/inter/Google%20Drive/PROYECTOS%20RECIENTES/CONTRUCTORA%20INCIARC/Users/ccorzo/Downloads/PROCTOR%20ENSAYO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Liquidacion\Paquete%20III\Control%20de%20Calidad\Excel\Asfalto%20Rodadura%20Compactacion,%20Espesor%20Inf.%20Mensu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UEL%20CASTELLANOS\Ensayo%20de%20compactaci&#243;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ROYECTOS/PROYECTO%20ROSARIO-GENOVA-1/MANUEL%20CASTELLANOS/Ensayo%20de%20compactaci&#243;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lasificación"/>
      <sheetName val="Cápsulas"/>
      <sheetName val="Soporte Cargas"/>
      <sheetName val="Gráfico CBR"/>
      <sheetName val="Clasificación (2)"/>
      <sheetName val="MOLDES CBR"/>
    </sheetNames>
    <sheetDataSet>
      <sheetData sheetId="0"/>
      <sheetData sheetId="1"/>
      <sheetData sheetId="2"/>
      <sheetData sheetId="3">
        <row r="42">
          <cell r="H42">
            <v>1443</v>
          </cell>
        </row>
        <row r="56">
          <cell r="AD56">
            <v>3.4098999999999999</v>
          </cell>
        </row>
        <row r="57">
          <cell r="AD57" t="str">
            <v>??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lasificación"/>
      <sheetName val="Cápsulas"/>
      <sheetName val="Soporte Cargas"/>
      <sheetName val="Gráfico CBR"/>
      <sheetName val="Clasificación (2)"/>
      <sheetName val="MOLDES CBR"/>
    </sheetNames>
    <sheetDataSet>
      <sheetData sheetId="0"/>
      <sheetData sheetId="1"/>
      <sheetData sheetId="2">
        <row r="112">
          <cell r="C112">
            <v>1</v>
          </cell>
        </row>
      </sheetData>
      <sheetData sheetId="3">
        <row r="42">
          <cell r="H42">
            <v>1443</v>
          </cell>
        </row>
        <row r="56">
          <cell r="AD56">
            <v>3.4098999999999999</v>
          </cell>
        </row>
        <row r="57">
          <cell r="AD57" t="str">
            <v>??</v>
          </cell>
        </row>
      </sheetData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de Cálculo"/>
      <sheetName val="Planilla de Cálculo Formato"/>
      <sheetName val="orden392"/>
      <sheetName val="orden415"/>
      <sheetName val="orden332"/>
    </sheetNames>
    <sheetDataSet>
      <sheetData sheetId="0">
        <row r="5">
          <cell r="E5" t="str">
            <v>Autopista Madden-Colon II fase</v>
          </cell>
          <cell r="R5">
            <v>4</v>
          </cell>
        </row>
        <row r="6">
          <cell r="E6" t="str">
            <v>57+720</v>
          </cell>
        </row>
        <row r="7">
          <cell r="E7" t="str">
            <v>tramo 4</v>
          </cell>
        </row>
        <row r="10">
          <cell r="H10">
            <v>1860</v>
          </cell>
        </row>
        <row r="11">
          <cell r="H11">
            <v>929.3</v>
          </cell>
        </row>
        <row r="12">
          <cell r="H12">
            <v>2.5</v>
          </cell>
        </row>
        <row r="13">
          <cell r="H13">
            <v>30.48</v>
          </cell>
        </row>
        <row r="14">
          <cell r="H14" t="str">
            <v>Estándar</v>
          </cell>
        </row>
        <row r="15">
          <cell r="H15">
            <v>3</v>
          </cell>
        </row>
        <row r="16">
          <cell r="H16">
            <v>25</v>
          </cell>
        </row>
        <row r="20">
          <cell r="I20" t="str">
            <v>A-1</v>
          </cell>
          <cell r="K20" t="str">
            <v>A-6</v>
          </cell>
          <cell r="M20" t="str">
            <v>A--30</v>
          </cell>
          <cell r="O20" t="str">
            <v>A-1</v>
          </cell>
          <cell r="Q20" t="str">
            <v>A-5</v>
          </cell>
        </row>
        <row r="21">
          <cell r="I21">
            <v>165</v>
          </cell>
          <cell r="K21">
            <v>170</v>
          </cell>
          <cell r="M21">
            <v>160</v>
          </cell>
          <cell r="O21">
            <v>170</v>
          </cell>
          <cell r="Q21">
            <v>170</v>
          </cell>
        </row>
        <row r="22">
          <cell r="I22">
            <v>145</v>
          </cell>
          <cell r="K22">
            <v>145</v>
          </cell>
          <cell r="M22">
            <v>135</v>
          </cell>
          <cell r="O22">
            <v>140</v>
          </cell>
          <cell r="Q22">
            <v>140</v>
          </cell>
        </row>
        <row r="24">
          <cell r="I24">
            <v>65</v>
          </cell>
          <cell r="K24">
            <v>70</v>
          </cell>
          <cell r="M24">
            <v>80</v>
          </cell>
          <cell r="O24">
            <v>70</v>
          </cell>
          <cell r="Q24">
            <v>70</v>
          </cell>
        </row>
        <row r="28">
          <cell r="I28">
            <v>-0.02</v>
          </cell>
          <cell r="K28" t="str">
            <v>Nat</v>
          </cell>
          <cell r="M28">
            <v>0.02</v>
          </cell>
        </row>
        <row r="29">
          <cell r="I29">
            <v>3315</v>
          </cell>
          <cell r="K29">
            <v>3425</v>
          </cell>
          <cell r="M29">
            <v>3465</v>
          </cell>
          <cell r="O29">
            <v>3485</v>
          </cell>
          <cell r="Q29">
            <v>3465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ción"/>
      <sheetName val="Espesor"/>
      <sheetName val="Raw-data Compactación"/>
      <sheetName val="Raw-data Espesor"/>
      <sheetName val="Estadístico del Rodadura"/>
      <sheetName val="Rodadura"/>
    </sheetNames>
    <sheetDataSet>
      <sheetData sheetId="0"/>
      <sheetData sheetId="1">
        <row r="10">
          <cell r="A10">
            <v>10</v>
          </cell>
          <cell r="H10">
            <v>5.3</v>
          </cell>
        </row>
        <row r="11">
          <cell r="A11">
            <v>20</v>
          </cell>
          <cell r="E11">
            <v>5.7</v>
          </cell>
          <cell r="H11">
            <v>5.3</v>
          </cell>
        </row>
        <row r="12">
          <cell r="A12">
            <v>30</v>
          </cell>
          <cell r="H12">
            <v>5.3</v>
          </cell>
        </row>
        <row r="13">
          <cell r="A13">
            <v>40</v>
          </cell>
          <cell r="H13">
            <v>5.3</v>
          </cell>
        </row>
        <row r="14">
          <cell r="A14">
            <v>50</v>
          </cell>
          <cell r="H14">
            <v>5.3</v>
          </cell>
        </row>
        <row r="15">
          <cell r="A15">
            <v>60</v>
          </cell>
          <cell r="H15">
            <v>5.3</v>
          </cell>
        </row>
        <row r="16">
          <cell r="A16">
            <v>70</v>
          </cell>
          <cell r="H16">
            <v>5.3</v>
          </cell>
        </row>
        <row r="17">
          <cell r="A17">
            <v>80</v>
          </cell>
          <cell r="H17">
            <v>5.3</v>
          </cell>
        </row>
        <row r="18">
          <cell r="A18">
            <v>90</v>
          </cell>
          <cell r="H18">
            <v>5.3</v>
          </cell>
        </row>
        <row r="19">
          <cell r="A19">
            <v>100</v>
          </cell>
          <cell r="H19">
            <v>5.3</v>
          </cell>
        </row>
        <row r="20">
          <cell r="A20">
            <v>110</v>
          </cell>
          <cell r="H20">
            <v>5.3</v>
          </cell>
        </row>
        <row r="21">
          <cell r="A21">
            <v>120</v>
          </cell>
          <cell r="D21">
            <v>4</v>
          </cell>
          <cell r="H21">
            <v>5.3</v>
          </cell>
        </row>
        <row r="22">
          <cell r="A22">
            <v>130</v>
          </cell>
          <cell r="H22">
            <v>5.3</v>
          </cell>
        </row>
        <row r="23">
          <cell r="A23">
            <v>140</v>
          </cell>
          <cell r="H23">
            <v>5.3</v>
          </cell>
        </row>
        <row r="24">
          <cell r="A24">
            <v>150</v>
          </cell>
          <cell r="G24">
            <v>4.8</v>
          </cell>
          <cell r="H24">
            <v>5.3</v>
          </cell>
        </row>
        <row r="25">
          <cell r="A25">
            <v>160</v>
          </cell>
          <cell r="H25">
            <v>5.3</v>
          </cell>
        </row>
        <row r="26">
          <cell r="A26">
            <v>170</v>
          </cell>
          <cell r="H26">
            <v>5.3</v>
          </cell>
        </row>
        <row r="27">
          <cell r="A27">
            <v>180</v>
          </cell>
          <cell r="H27">
            <v>5.3</v>
          </cell>
        </row>
        <row r="28">
          <cell r="A28">
            <v>190</v>
          </cell>
          <cell r="H28">
            <v>5.3</v>
          </cell>
        </row>
        <row r="29">
          <cell r="A29">
            <v>200</v>
          </cell>
          <cell r="H29">
            <v>5.3</v>
          </cell>
        </row>
        <row r="30">
          <cell r="A30">
            <v>210</v>
          </cell>
          <cell r="H30">
            <v>5.3</v>
          </cell>
        </row>
        <row r="31">
          <cell r="A31">
            <v>220</v>
          </cell>
          <cell r="H31">
            <v>5.3</v>
          </cell>
        </row>
        <row r="32">
          <cell r="A32">
            <v>230</v>
          </cell>
          <cell r="H32">
            <v>5.3</v>
          </cell>
        </row>
        <row r="33">
          <cell r="A33">
            <v>240</v>
          </cell>
          <cell r="H33">
            <v>5.3</v>
          </cell>
        </row>
        <row r="34">
          <cell r="A34">
            <v>250</v>
          </cell>
          <cell r="H34">
            <v>5.3</v>
          </cell>
        </row>
        <row r="35">
          <cell r="A35">
            <v>260</v>
          </cell>
          <cell r="H35">
            <v>5.3</v>
          </cell>
        </row>
        <row r="36">
          <cell r="A36">
            <v>270</v>
          </cell>
          <cell r="C36">
            <v>5.2</v>
          </cell>
          <cell r="H36">
            <v>5.3</v>
          </cell>
        </row>
        <row r="37">
          <cell r="A37">
            <v>280</v>
          </cell>
          <cell r="H37">
            <v>5.3</v>
          </cell>
        </row>
        <row r="38">
          <cell r="A38">
            <v>290</v>
          </cell>
          <cell r="H38">
            <v>5.3</v>
          </cell>
        </row>
        <row r="39">
          <cell r="A39">
            <v>300</v>
          </cell>
          <cell r="H39">
            <v>5.3</v>
          </cell>
        </row>
        <row r="40">
          <cell r="A40">
            <v>310</v>
          </cell>
          <cell r="H40">
            <v>5.3</v>
          </cell>
        </row>
        <row r="41">
          <cell r="A41">
            <v>320</v>
          </cell>
          <cell r="H41">
            <v>5.3</v>
          </cell>
        </row>
        <row r="42">
          <cell r="A42">
            <v>330</v>
          </cell>
          <cell r="H42">
            <v>5.3</v>
          </cell>
        </row>
        <row r="43">
          <cell r="A43">
            <v>340</v>
          </cell>
          <cell r="H43">
            <v>5.3</v>
          </cell>
        </row>
        <row r="44">
          <cell r="A44">
            <v>350</v>
          </cell>
          <cell r="F44">
            <v>5.3</v>
          </cell>
          <cell r="H44">
            <v>5.3</v>
          </cell>
        </row>
        <row r="45">
          <cell r="A45">
            <v>360</v>
          </cell>
          <cell r="H45">
            <v>5.3</v>
          </cell>
        </row>
        <row r="46">
          <cell r="A46">
            <v>370</v>
          </cell>
          <cell r="H46">
            <v>5.3</v>
          </cell>
        </row>
        <row r="47">
          <cell r="A47">
            <v>380</v>
          </cell>
          <cell r="H47">
            <v>5.3</v>
          </cell>
        </row>
        <row r="48">
          <cell r="A48">
            <v>390</v>
          </cell>
          <cell r="H48">
            <v>5.3</v>
          </cell>
        </row>
        <row r="49">
          <cell r="A49">
            <v>400</v>
          </cell>
          <cell r="H49">
            <v>5.3</v>
          </cell>
        </row>
        <row r="50">
          <cell r="A50">
            <v>410</v>
          </cell>
          <cell r="H50">
            <v>5.3</v>
          </cell>
        </row>
        <row r="51">
          <cell r="A51">
            <v>420</v>
          </cell>
          <cell r="B51">
            <v>5</v>
          </cell>
          <cell r="H51">
            <v>5.3</v>
          </cell>
        </row>
        <row r="52">
          <cell r="A52">
            <v>430</v>
          </cell>
          <cell r="H52">
            <v>5.3</v>
          </cell>
        </row>
        <row r="53">
          <cell r="A53">
            <v>440</v>
          </cell>
          <cell r="H53">
            <v>5.3</v>
          </cell>
        </row>
        <row r="54">
          <cell r="A54">
            <v>450</v>
          </cell>
          <cell r="H54">
            <v>5.3</v>
          </cell>
        </row>
        <row r="55">
          <cell r="A55">
            <v>460</v>
          </cell>
          <cell r="H55">
            <v>5.3</v>
          </cell>
        </row>
        <row r="56">
          <cell r="A56">
            <v>470</v>
          </cell>
          <cell r="H56">
            <v>5.3</v>
          </cell>
        </row>
        <row r="57">
          <cell r="A57">
            <v>480</v>
          </cell>
          <cell r="H57">
            <v>5.3</v>
          </cell>
        </row>
        <row r="58">
          <cell r="A58">
            <v>490</v>
          </cell>
          <cell r="H58">
            <v>5.3</v>
          </cell>
        </row>
        <row r="59">
          <cell r="A59">
            <v>500</v>
          </cell>
          <cell r="H59">
            <v>5.3</v>
          </cell>
        </row>
        <row r="60">
          <cell r="A60">
            <v>510</v>
          </cell>
          <cell r="H60">
            <v>5.3</v>
          </cell>
        </row>
        <row r="61">
          <cell r="A61">
            <v>520</v>
          </cell>
          <cell r="H61">
            <v>5.3</v>
          </cell>
        </row>
        <row r="62">
          <cell r="A62">
            <v>530</v>
          </cell>
          <cell r="H62">
            <v>5.3</v>
          </cell>
        </row>
        <row r="63">
          <cell r="A63">
            <v>540</v>
          </cell>
          <cell r="H63">
            <v>5.3</v>
          </cell>
        </row>
        <row r="64">
          <cell r="A64">
            <v>550</v>
          </cell>
          <cell r="F64">
            <v>5.0999999999999996</v>
          </cell>
          <cell r="H64">
            <v>5.3</v>
          </cell>
        </row>
        <row r="65">
          <cell r="A65">
            <v>560</v>
          </cell>
          <cell r="H65">
            <v>5.3</v>
          </cell>
        </row>
        <row r="66">
          <cell r="A66">
            <v>570</v>
          </cell>
          <cell r="D66">
            <v>5</v>
          </cell>
          <cell r="H66">
            <v>5.3</v>
          </cell>
        </row>
        <row r="67">
          <cell r="A67">
            <v>580</v>
          </cell>
          <cell r="H67">
            <v>5.3</v>
          </cell>
        </row>
        <row r="68">
          <cell r="A68">
            <v>590</v>
          </cell>
          <cell r="H68">
            <v>5.3</v>
          </cell>
        </row>
        <row r="69">
          <cell r="A69">
            <v>600</v>
          </cell>
          <cell r="H69">
            <v>5.3</v>
          </cell>
        </row>
        <row r="70">
          <cell r="A70">
            <v>610</v>
          </cell>
          <cell r="H70">
            <v>5.3</v>
          </cell>
        </row>
        <row r="71">
          <cell r="A71">
            <v>620</v>
          </cell>
          <cell r="H71">
            <v>5.3</v>
          </cell>
        </row>
        <row r="72">
          <cell r="A72">
            <v>630</v>
          </cell>
          <cell r="H72">
            <v>5.3</v>
          </cell>
        </row>
        <row r="73">
          <cell r="A73">
            <v>640</v>
          </cell>
          <cell r="H73">
            <v>5.3</v>
          </cell>
        </row>
        <row r="74">
          <cell r="A74">
            <v>650</v>
          </cell>
          <cell r="H74">
            <v>5.3</v>
          </cell>
        </row>
        <row r="75">
          <cell r="A75">
            <v>660</v>
          </cell>
          <cell r="H75">
            <v>5.3</v>
          </cell>
        </row>
        <row r="76">
          <cell r="A76">
            <v>670</v>
          </cell>
          <cell r="H76">
            <v>5.3</v>
          </cell>
        </row>
        <row r="77">
          <cell r="A77">
            <v>680</v>
          </cell>
          <cell r="H77">
            <v>5.3</v>
          </cell>
        </row>
        <row r="78">
          <cell r="A78">
            <v>690</v>
          </cell>
          <cell r="H78">
            <v>5.3</v>
          </cell>
        </row>
        <row r="79">
          <cell r="A79">
            <v>700</v>
          </cell>
          <cell r="H79">
            <v>5.3</v>
          </cell>
        </row>
        <row r="80">
          <cell r="A80">
            <v>710</v>
          </cell>
          <cell r="H80">
            <v>5.3</v>
          </cell>
        </row>
        <row r="81">
          <cell r="A81">
            <v>720</v>
          </cell>
          <cell r="C81">
            <v>5</v>
          </cell>
          <cell r="H81">
            <v>5.3</v>
          </cell>
        </row>
        <row r="82">
          <cell r="A82">
            <v>730</v>
          </cell>
          <cell r="H82">
            <v>5.3</v>
          </cell>
        </row>
        <row r="83">
          <cell r="A83">
            <v>740</v>
          </cell>
          <cell r="H83">
            <v>5.3</v>
          </cell>
        </row>
        <row r="84">
          <cell r="A84">
            <v>750</v>
          </cell>
          <cell r="G84">
            <v>5.2</v>
          </cell>
          <cell r="H84">
            <v>5.3</v>
          </cell>
        </row>
        <row r="85">
          <cell r="A85">
            <v>760</v>
          </cell>
          <cell r="H85">
            <v>5.3</v>
          </cell>
        </row>
        <row r="86">
          <cell r="A86">
            <v>770</v>
          </cell>
          <cell r="H86">
            <v>5.3</v>
          </cell>
        </row>
        <row r="87">
          <cell r="A87">
            <v>780</v>
          </cell>
          <cell r="H87">
            <v>5.3</v>
          </cell>
        </row>
        <row r="88">
          <cell r="A88">
            <v>790</v>
          </cell>
          <cell r="H88">
            <v>5.3</v>
          </cell>
        </row>
        <row r="89">
          <cell r="A89">
            <v>800</v>
          </cell>
          <cell r="H89">
            <v>5.3</v>
          </cell>
        </row>
        <row r="90">
          <cell r="A90">
            <v>810</v>
          </cell>
          <cell r="H90">
            <v>5.3</v>
          </cell>
        </row>
        <row r="91">
          <cell r="A91">
            <v>820</v>
          </cell>
          <cell r="H91">
            <v>5.3</v>
          </cell>
        </row>
        <row r="92">
          <cell r="A92">
            <v>830</v>
          </cell>
          <cell r="H92">
            <v>5.3</v>
          </cell>
        </row>
        <row r="93">
          <cell r="A93">
            <v>840</v>
          </cell>
          <cell r="H93">
            <v>5.3</v>
          </cell>
        </row>
        <row r="94">
          <cell r="A94">
            <v>850</v>
          </cell>
          <cell r="H94">
            <v>5.3</v>
          </cell>
        </row>
        <row r="95">
          <cell r="A95">
            <v>860</v>
          </cell>
          <cell r="H95">
            <v>5.3</v>
          </cell>
        </row>
        <row r="96">
          <cell r="A96">
            <v>870</v>
          </cell>
          <cell r="B96">
            <v>4.5</v>
          </cell>
          <cell r="H96">
            <v>5.3</v>
          </cell>
        </row>
        <row r="97">
          <cell r="A97">
            <v>880</v>
          </cell>
          <cell r="H97">
            <v>5.3</v>
          </cell>
        </row>
        <row r="98">
          <cell r="A98">
            <v>890</v>
          </cell>
          <cell r="H98">
            <v>5.3</v>
          </cell>
        </row>
        <row r="99">
          <cell r="A99">
            <v>900</v>
          </cell>
          <cell r="H99">
            <v>5.3</v>
          </cell>
        </row>
        <row r="100">
          <cell r="A100">
            <v>910</v>
          </cell>
          <cell r="H100">
            <v>5.3</v>
          </cell>
        </row>
        <row r="101">
          <cell r="A101">
            <v>920</v>
          </cell>
          <cell r="H101">
            <v>5.3</v>
          </cell>
        </row>
        <row r="102">
          <cell r="A102">
            <v>930</v>
          </cell>
          <cell r="H102">
            <v>5.3</v>
          </cell>
        </row>
        <row r="103">
          <cell r="A103">
            <v>940</v>
          </cell>
          <cell r="H103">
            <v>5.3</v>
          </cell>
        </row>
        <row r="104">
          <cell r="A104">
            <v>950</v>
          </cell>
          <cell r="H104">
            <v>5.3</v>
          </cell>
        </row>
        <row r="105">
          <cell r="A105">
            <v>960</v>
          </cell>
          <cell r="H105">
            <v>5.3</v>
          </cell>
        </row>
        <row r="106">
          <cell r="A106">
            <v>970</v>
          </cell>
          <cell r="H106">
            <v>5.3</v>
          </cell>
        </row>
        <row r="107">
          <cell r="A107">
            <v>980</v>
          </cell>
          <cell r="H107">
            <v>5.3</v>
          </cell>
        </row>
        <row r="108">
          <cell r="A108">
            <v>990</v>
          </cell>
          <cell r="H108">
            <v>5.3</v>
          </cell>
        </row>
        <row r="109">
          <cell r="A109">
            <v>1000</v>
          </cell>
          <cell r="H109">
            <v>5.3</v>
          </cell>
        </row>
        <row r="110">
          <cell r="A110">
            <v>1010</v>
          </cell>
          <cell r="H110">
            <v>5.3</v>
          </cell>
        </row>
        <row r="111">
          <cell r="A111">
            <v>1020</v>
          </cell>
          <cell r="H111">
            <v>5.3</v>
          </cell>
        </row>
        <row r="112">
          <cell r="A112">
            <v>1030</v>
          </cell>
          <cell r="H112">
            <v>5.3</v>
          </cell>
        </row>
        <row r="113">
          <cell r="A113">
            <v>1040</v>
          </cell>
          <cell r="H113">
            <v>5.3</v>
          </cell>
        </row>
        <row r="114">
          <cell r="A114">
            <v>1050</v>
          </cell>
          <cell r="H114">
            <v>5.3</v>
          </cell>
        </row>
        <row r="115">
          <cell r="A115">
            <v>1060</v>
          </cell>
          <cell r="H115">
            <v>5.3</v>
          </cell>
        </row>
        <row r="116">
          <cell r="A116">
            <v>1070</v>
          </cell>
          <cell r="H116">
            <v>5.3</v>
          </cell>
        </row>
        <row r="117">
          <cell r="A117">
            <v>1080</v>
          </cell>
          <cell r="H117">
            <v>5.3</v>
          </cell>
        </row>
        <row r="118">
          <cell r="A118">
            <v>1090</v>
          </cell>
          <cell r="H118">
            <v>5.3</v>
          </cell>
        </row>
        <row r="119">
          <cell r="A119">
            <v>1100</v>
          </cell>
          <cell r="H119">
            <v>5.3</v>
          </cell>
        </row>
        <row r="120">
          <cell r="A120">
            <v>1110</v>
          </cell>
          <cell r="H120">
            <v>5.3</v>
          </cell>
        </row>
        <row r="121">
          <cell r="A121">
            <v>1120</v>
          </cell>
          <cell r="H121">
            <v>5.3</v>
          </cell>
        </row>
        <row r="122">
          <cell r="A122">
            <v>1130</v>
          </cell>
          <cell r="H122">
            <v>5.3</v>
          </cell>
        </row>
        <row r="123">
          <cell r="A123">
            <v>1140</v>
          </cell>
          <cell r="H123">
            <v>5.3</v>
          </cell>
        </row>
        <row r="124">
          <cell r="A124">
            <v>1150</v>
          </cell>
          <cell r="D124">
            <v>5.6</v>
          </cell>
          <cell r="H124">
            <v>5.3</v>
          </cell>
        </row>
        <row r="125">
          <cell r="A125">
            <v>1160</v>
          </cell>
          <cell r="H125">
            <v>5.3</v>
          </cell>
        </row>
        <row r="126">
          <cell r="A126">
            <v>1170</v>
          </cell>
          <cell r="H126">
            <v>5.3</v>
          </cell>
        </row>
        <row r="127">
          <cell r="A127">
            <v>1180</v>
          </cell>
          <cell r="H127">
            <v>5.3</v>
          </cell>
        </row>
        <row r="128">
          <cell r="A128">
            <v>1190</v>
          </cell>
          <cell r="H128">
            <v>5.3</v>
          </cell>
        </row>
        <row r="129">
          <cell r="A129">
            <v>1200</v>
          </cell>
          <cell r="H129">
            <v>5.3</v>
          </cell>
        </row>
        <row r="130">
          <cell r="A130">
            <v>1210</v>
          </cell>
          <cell r="H130">
            <v>5.3</v>
          </cell>
        </row>
        <row r="131">
          <cell r="A131">
            <v>1220</v>
          </cell>
          <cell r="H131">
            <v>5.3</v>
          </cell>
        </row>
        <row r="132">
          <cell r="A132">
            <v>1230</v>
          </cell>
          <cell r="H132">
            <v>5.3</v>
          </cell>
        </row>
        <row r="133">
          <cell r="A133">
            <v>1240</v>
          </cell>
          <cell r="H133">
            <v>5.3</v>
          </cell>
        </row>
        <row r="134">
          <cell r="A134">
            <v>1250</v>
          </cell>
          <cell r="H134">
            <v>5.3</v>
          </cell>
        </row>
        <row r="135">
          <cell r="A135">
            <v>1260</v>
          </cell>
          <cell r="H135">
            <v>5.3</v>
          </cell>
        </row>
        <row r="136">
          <cell r="A136">
            <v>1270</v>
          </cell>
          <cell r="H136">
            <v>5.3</v>
          </cell>
        </row>
        <row r="137">
          <cell r="A137">
            <v>1280</v>
          </cell>
          <cell r="H137">
            <v>5.3</v>
          </cell>
        </row>
        <row r="138">
          <cell r="A138">
            <v>1290</v>
          </cell>
          <cell r="H138">
            <v>5.3</v>
          </cell>
        </row>
        <row r="139">
          <cell r="A139">
            <v>1300</v>
          </cell>
          <cell r="H139">
            <v>5.3</v>
          </cell>
        </row>
        <row r="140">
          <cell r="A140">
            <v>1310</v>
          </cell>
          <cell r="H140">
            <v>5.3</v>
          </cell>
        </row>
        <row r="141">
          <cell r="A141">
            <v>1320</v>
          </cell>
          <cell r="H141">
            <v>5.3</v>
          </cell>
        </row>
        <row r="142">
          <cell r="A142">
            <v>1330</v>
          </cell>
          <cell r="H142">
            <v>5.3</v>
          </cell>
        </row>
        <row r="143">
          <cell r="A143">
            <v>1340</v>
          </cell>
          <cell r="H143">
            <v>5.3</v>
          </cell>
        </row>
        <row r="144">
          <cell r="A144">
            <v>1350</v>
          </cell>
          <cell r="C144">
            <v>5.2</v>
          </cell>
          <cell r="H144">
            <v>5.3</v>
          </cell>
        </row>
        <row r="145">
          <cell r="A145">
            <v>1360</v>
          </cell>
          <cell r="H145">
            <v>5.3</v>
          </cell>
        </row>
        <row r="146">
          <cell r="A146">
            <v>1370</v>
          </cell>
          <cell r="H146">
            <v>5.3</v>
          </cell>
        </row>
        <row r="147">
          <cell r="A147">
            <v>1380</v>
          </cell>
          <cell r="H147">
            <v>5.3</v>
          </cell>
        </row>
        <row r="148">
          <cell r="A148">
            <v>1390</v>
          </cell>
          <cell r="H148">
            <v>5.3</v>
          </cell>
        </row>
        <row r="149">
          <cell r="A149">
            <v>1400</v>
          </cell>
          <cell r="H149">
            <v>5.3</v>
          </cell>
        </row>
        <row r="150">
          <cell r="A150">
            <v>1410</v>
          </cell>
          <cell r="H150">
            <v>5.3</v>
          </cell>
        </row>
        <row r="151">
          <cell r="A151">
            <v>1420</v>
          </cell>
          <cell r="H151">
            <v>5.3</v>
          </cell>
        </row>
        <row r="152">
          <cell r="A152">
            <v>1430</v>
          </cell>
          <cell r="H152">
            <v>5.3</v>
          </cell>
        </row>
        <row r="153">
          <cell r="A153">
            <v>1440</v>
          </cell>
          <cell r="H153">
            <v>5.3</v>
          </cell>
        </row>
        <row r="154">
          <cell r="A154">
            <v>1450</v>
          </cell>
          <cell r="B154">
            <v>5.6</v>
          </cell>
          <cell r="H154">
            <v>5.3</v>
          </cell>
        </row>
        <row r="155">
          <cell r="A155">
            <v>1460</v>
          </cell>
          <cell r="H155">
            <v>5.3</v>
          </cell>
        </row>
        <row r="156">
          <cell r="A156">
            <v>1470</v>
          </cell>
          <cell r="H156">
            <v>5.3</v>
          </cell>
        </row>
        <row r="157">
          <cell r="A157">
            <v>1480</v>
          </cell>
          <cell r="H157">
            <v>5.3</v>
          </cell>
        </row>
        <row r="158">
          <cell r="A158">
            <v>1490</v>
          </cell>
          <cell r="H158">
            <v>5.3</v>
          </cell>
        </row>
        <row r="159">
          <cell r="A159">
            <v>1500</v>
          </cell>
          <cell r="H159">
            <v>5.3</v>
          </cell>
        </row>
        <row r="160">
          <cell r="A160">
            <v>1510</v>
          </cell>
          <cell r="H160">
            <v>5.3</v>
          </cell>
        </row>
        <row r="161">
          <cell r="A161">
            <v>1520</v>
          </cell>
          <cell r="H161">
            <v>5.3</v>
          </cell>
        </row>
        <row r="162">
          <cell r="A162">
            <v>1530</v>
          </cell>
          <cell r="H162">
            <v>5.3</v>
          </cell>
        </row>
        <row r="163">
          <cell r="A163">
            <v>1540</v>
          </cell>
          <cell r="H163">
            <v>5.3</v>
          </cell>
        </row>
        <row r="164">
          <cell r="A164">
            <v>1550</v>
          </cell>
          <cell r="H164">
            <v>5.3</v>
          </cell>
        </row>
        <row r="165">
          <cell r="A165">
            <v>1560</v>
          </cell>
          <cell r="H165">
            <v>5.3</v>
          </cell>
        </row>
        <row r="166">
          <cell r="A166">
            <v>1570</v>
          </cell>
          <cell r="H166">
            <v>5.3</v>
          </cell>
        </row>
        <row r="167">
          <cell r="A167">
            <v>1580</v>
          </cell>
          <cell r="H167">
            <v>5.3</v>
          </cell>
        </row>
        <row r="168">
          <cell r="A168">
            <v>1590</v>
          </cell>
          <cell r="H168">
            <v>5.3</v>
          </cell>
        </row>
        <row r="169">
          <cell r="A169">
            <v>1600</v>
          </cell>
          <cell r="C169">
            <v>5.5</v>
          </cell>
          <cell r="H169">
            <v>5.3</v>
          </cell>
        </row>
        <row r="170">
          <cell r="A170">
            <v>1610</v>
          </cell>
          <cell r="H170">
            <v>5.3</v>
          </cell>
        </row>
        <row r="171">
          <cell r="A171">
            <v>1620</v>
          </cell>
          <cell r="H171">
            <v>5.3</v>
          </cell>
        </row>
        <row r="172">
          <cell r="A172">
            <v>1630</v>
          </cell>
          <cell r="H172">
            <v>5.3</v>
          </cell>
        </row>
        <row r="173">
          <cell r="A173">
            <v>1640</v>
          </cell>
          <cell r="H173">
            <v>5.3</v>
          </cell>
        </row>
        <row r="174">
          <cell r="A174">
            <v>1650</v>
          </cell>
          <cell r="H174">
            <v>5.3</v>
          </cell>
        </row>
        <row r="175">
          <cell r="A175">
            <v>1660</v>
          </cell>
          <cell r="H175">
            <v>5.3</v>
          </cell>
        </row>
        <row r="176">
          <cell r="A176">
            <v>1670</v>
          </cell>
          <cell r="H176">
            <v>5.3</v>
          </cell>
        </row>
        <row r="177">
          <cell r="A177">
            <v>1680</v>
          </cell>
          <cell r="H177">
            <v>5.3</v>
          </cell>
        </row>
        <row r="178">
          <cell r="A178">
            <v>1690</v>
          </cell>
          <cell r="H178">
            <v>5.3</v>
          </cell>
        </row>
        <row r="179">
          <cell r="A179">
            <v>1700</v>
          </cell>
          <cell r="H179">
            <v>5.3</v>
          </cell>
        </row>
        <row r="180">
          <cell r="A180">
            <v>1710</v>
          </cell>
          <cell r="H180">
            <v>5.3</v>
          </cell>
        </row>
        <row r="181">
          <cell r="A181">
            <v>1720</v>
          </cell>
          <cell r="H181">
            <v>5.3</v>
          </cell>
        </row>
        <row r="182">
          <cell r="A182">
            <v>1730</v>
          </cell>
          <cell r="H182">
            <v>5.3</v>
          </cell>
        </row>
        <row r="183">
          <cell r="A183">
            <v>1740</v>
          </cell>
          <cell r="H183">
            <v>5.3</v>
          </cell>
        </row>
        <row r="184">
          <cell r="A184">
            <v>1750</v>
          </cell>
          <cell r="H184">
            <v>5.3</v>
          </cell>
        </row>
        <row r="185">
          <cell r="A185">
            <v>1760</v>
          </cell>
          <cell r="H185">
            <v>5.3</v>
          </cell>
        </row>
        <row r="186">
          <cell r="A186">
            <v>1770</v>
          </cell>
          <cell r="H186">
            <v>5.3</v>
          </cell>
        </row>
        <row r="187">
          <cell r="A187">
            <v>1780</v>
          </cell>
          <cell r="H187">
            <v>5.3</v>
          </cell>
        </row>
        <row r="188">
          <cell r="A188">
            <v>1790</v>
          </cell>
          <cell r="H188">
            <v>5.3</v>
          </cell>
        </row>
        <row r="189">
          <cell r="A189">
            <v>1800</v>
          </cell>
          <cell r="H189">
            <v>5.3</v>
          </cell>
        </row>
        <row r="190">
          <cell r="A190">
            <v>1810</v>
          </cell>
          <cell r="H190">
            <v>5.3</v>
          </cell>
        </row>
        <row r="191">
          <cell r="A191">
            <v>1820</v>
          </cell>
          <cell r="H191">
            <v>5.3</v>
          </cell>
        </row>
        <row r="192">
          <cell r="A192">
            <v>1830</v>
          </cell>
          <cell r="H192">
            <v>5.3</v>
          </cell>
        </row>
        <row r="193">
          <cell r="A193">
            <v>1840</v>
          </cell>
          <cell r="H193">
            <v>5.3</v>
          </cell>
        </row>
        <row r="194">
          <cell r="A194">
            <v>1850</v>
          </cell>
          <cell r="B194">
            <v>5</v>
          </cell>
          <cell r="H194">
            <v>5.3</v>
          </cell>
        </row>
        <row r="195">
          <cell r="A195">
            <v>1860</v>
          </cell>
          <cell r="H195">
            <v>5.3</v>
          </cell>
        </row>
        <row r="196">
          <cell r="A196">
            <v>1870</v>
          </cell>
          <cell r="H196">
            <v>5.3</v>
          </cell>
        </row>
        <row r="197">
          <cell r="A197">
            <v>1880</v>
          </cell>
          <cell r="H197">
            <v>5.3</v>
          </cell>
        </row>
        <row r="198">
          <cell r="A198">
            <v>1890</v>
          </cell>
          <cell r="H198">
            <v>5.3</v>
          </cell>
        </row>
        <row r="199">
          <cell r="A199">
            <v>1900</v>
          </cell>
          <cell r="H199">
            <v>5.3</v>
          </cell>
        </row>
        <row r="200">
          <cell r="A200">
            <v>1910</v>
          </cell>
          <cell r="H200">
            <v>5.3</v>
          </cell>
        </row>
        <row r="201">
          <cell r="A201">
            <v>1920</v>
          </cell>
          <cell r="H201">
            <v>5.3</v>
          </cell>
        </row>
        <row r="202">
          <cell r="A202">
            <v>1930</v>
          </cell>
          <cell r="H202">
            <v>5.3</v>
          </cell>
        </row>
        <row r="203">
          <cell r="A203">
            <v>1940</v>
          </cell>
          <cell r="H203">
            <v>5.3</v>
          </cell>
        </row>
        <row r="204">
          <cell r="A204">
            <v>1950</v>
          </cell>
          <cell r="H204">
            <v>5.3</v>
          </cell>
        </row>
        <row r="205">
          <cell r="A205">
            <v>1960</v>
          </cell>
          <cell r="H205">
            <v>5.3</v>
          </cell>
        </row>
        <row r="206">
          <cell r="A206">
            <v>1970</v>
          </cell>
          <cell r="H206">
            <v>5.3</v>
          </cell>
        </row>
        <row r="207">
          <cell r="A207">
            <v>1980</v>
          </cell>
          <cell r="H207">
            <v>5.3</v>
          </cell>
        </row>
        <row r="208">
          <cell r="A208">
            <v>1990</v>
          </cell>
          <cell r="H208">
            <v>5.3</v>
          </cell>
        </row>
        <row r="209">
          <cell r="A209">
            <v>2000</v>
          </cell>
          <cell r="H209">
            <v>5.3</v>
          </cell>
        </row>
        <row r="210">
          <cell r="A210">
            <v>2010</v>
          </cell>
          <cell r="H210">
            <v>5.3</v>
          </cell>
        </row>
        <row r="211">
          <cell r="A211">
            <v>2020</v>
          </cell>
          <cell r="B211">
            <v>5</v>
          </cell>
          <cell r="H211">
            <v>5.3</v>
          </cell>
        </row>
        <row r="212">
          <cell r="A212">
            <v>2030</v>
          </cell>
          <cell r="H212">
            <v>5.3</v>
          </cell>
        </row>
        <row r="213">
          <cell r="A213">
            <v>2040</v>
          </cell>
          <cell r="H213">
            <v>5.3</v>
          </cell>
        </row>
        <row r="214">
          <cell r="A214">
            <v>2050</v>
          </cell>
          <cell r="H214">
            <v>5.3</v>
          </cell>
        </row>
        <row r="215">
          <cell r="A215">
            <v>2060</v>
          </cell>
          <cell r="H215">
            <v>5.3</v>
          </cell>
        </row>
        <row r="216">
          <cell r="A216">
            <v>2070</v>
          </cell>
          <cell r="H216">
            <v>5.3</v>
          </cell>
        </row>
        <row r="217">
          <cell r="A217">
            <v>2080</v>
          </cell>
          <cell r="H217">
            <v>5.3</v>
          </cell>
        </row>
        <row r="218">
          <cell r="A218">
            <v>2090</v>
          </cell>
          <cell r="H218">
            <v>5.3</v>
          </cell>
        </row>
        <row r="219">
          <cell r="A219">
            <v>2100</v>
          </cell>
          <cell r="H219">
            <v>5.3</v>
          </cell>
        </row>
        <row r="220">
          <cell r="A220">
            <v>2110</v>
          </cell>
          <cell r="H220">
            <v>5.3</v>
          </cell>
        </row>
        <row r="221">
          <cell r="A221">
            <v>2120</v>
          </cell>
          <cell r="H221">
            <v>5.3</v>
          </cell>
        </row>
        <row r="222">
          <cell r="A222">
            <v>2130</v>
          </cell>
          <cell r="H222">
            <v>5.3</v>
          </cell>
        </row>
        <row r="223">
          <cell r="A223">
            <v>2140</v>
          </cell>
          <cell r="H223">
            <v>5.3</v>
          </cell>
        </row>
        <row r="224">
          <cell r="A224">
            <v>2150</v>
          </cell>
          <cell r="H224">
            <v>5.3</v>
          </cell>
        </row>
        <row r="225">
          <cell r="A225">
            <v>2160</v>
          </cell>
          <cell r="H225">
            <v>5.3</v>
          </cell>
        </row>
        <row r="226">
          <cell r="A226">
            <v>2170</v>
          </cell>
          <cell r="H226">
            <v>5.3</v>
          </cell>
        </row>
        <row r="227">
          <cell r="A227">
            <v>2180</v>
          </cell>
          <cell r="H227">
            <v>5.3</v>
          </cell>
        </row>
        <row r="228">
          <cell r="A228">
            <v>2190</v>
          </cell>
          <cell r="H228">
            <v>5.3</v>
          </cell>
        </row>
        <row r="229">
          <cell r="A229">
            <v>2200</v>
          </cell>
          <cell r="H229">
            <v>5.3</v>
          </cell>
        </row>
        <row r="230">
          <cell r="A230">
            <v>2210</v>
          </cell>
          <cell r="H230">
            <v>5.3</v>
          </cell>
        </row>
        <row r="231">
          <cell r="A231">
            <v>2220</v>
          </cell>
          <cell r="H231">
            <v>5.3</v>
          </cell>
        </row>
        <row r="232">
          <cell r="A232">
            <v>2230</v>
          </cell>
          <cell r="H232">
            <v>5.3</v>
          </cell>
        </row>
        <row r="233">
          <cell r="A233">
            <v>2240</v>
          </cell>
          <cell r="H233">
            <v>5.3</v>
          </cell>
        </row>
        <row r="234">
          <cell r="A234">
            <v>2250</v>
          </cell>
          <cell r="H234">
            <v>5.3</v>
          </cell>
        </row>
        <row r="235">
          <cell r="A235">
            <v>2260</v>
          </cell>
          <cell r="H235">
            <v>5.3</v>
          </cell>
        </row>
        <row r="236">
          <cell r="A236">
            <v>2270</v>
          </cell>
          <cell r="H236">
            <v>5.3</v>
          </cell>
        </row>
        <row r="237">
          <cell r="A237">
            <v>2280</v>
          </cell>
          <cell r="H237">
            <v>5.3</v>
          </cell>
        </row>
        <row r="238">
          <cell r="A238">
            <v>2290</v>
          </cell>
          <cell r="H238">
            <v>5.3</v>
          </cell>
        </row>
        <row r="239">
          <cell r="A239">
            <v>2300</v>
          </cell>
          <cell r="H239">
            <v>5.3</v>
          </cell>
        </row>
        <row r="240">
          <cell r="A240">
            <v>2310</v>
          </cell>
          <cell r="H240">
            <v>5.3</v>
          </cell>
        </row>
        <row r="241">
          <cell r="A241">
            <v>2320</v>
          </cell>
          <cell r="H241">
            <v>5.3</v>
          </cell>
        </row>
        <row r="242">
          <cell r="A242">
            <v>2330</v>
          </cell>
          <cell r="H242">
            <v>5.3</v>
          </cell>
        </row>
        <row r="243">
          <cell r="A243">
            <v>2340</v>
          </cell>
          <cell r="H243">
            <v>5.3</v>
          </cell>
        </row>
        <row r="244">
          <cell r="A244">
            <v>2350</v>
          </cell>
          <cell r="H244">
            <v>5.3</v>
          </cell>
        </row>
        <row r="245">
          <cell r="A245">
            <v>2360</v>
          </cell>
          <cell r="H245">
            <v>5.3</v>
          </cell>
        </row>
        <row r="246">
          <cell r="A246">
            <v>2370</v>
          </cell>
          <cell r="H246">
            <v>5.3</v>
          </cell>
        </row>
        <row r="247">
          <cell r="A247">
            <v>2380</v>
          </cell>
          <cell r="H247">
            <v>5.3</v>
          </cell>
        </row>
        <row r="248">
          <cell r="A248">
            <v>2390</v>
          </cell>
          <cell r="H248">
            <v>5.3</v>
          </cell>
        </row>
        <row r="249">
          <cell r="A249">
            <v>2400</v>
          </cell>
          <cell r="H249">
            <v>5.3</v>
          </cell>
        </row>
        <row r="250">
          <cell r="A250">
            <v>2410</v>
          </cell>
          <cell r="H250">
            <v>5.3</v>
          </cell>
        </row>
        <row r="251">
          <cell r="A251">
            <v>2420</v>
          </cell>
          <cell r="C251">
            <v>5</v>
          </cell>
          <cell r="F251">
            <v>5.6</v>
          </cell>
          <cell r="H251">
            <v>5.3</v>
          </cell>
        </row>
        <row r="252">
          <cell r="A252">
            <v>2430</v>
          </cell>
          <cell r="H252">
            <v>5.3</v>
          </cell>
        </row>
        <row r="253">
          <cell r="A253">
            <v>2440</v>
          </cell>
          <cell r="H253">
            <v>5.3</v>
          </cell>
        </row>
        <row r="254">
          <cell r="A254">
            <v>2450</v>
          </cell>
          <cell r="H254">
            <v>5.3</v>
          </cell>
        </row>
        <row r="255">
          <cell r="A255">
            <v>2460</v>
          </cell>
          <cell r="H255">
            <v>5.3</v>
          </cell>
        </row>
        <row r="256">
          <cell r="A256">
            <v>2470</v>
          </cell>
          <cell r="H256">
            <v>5.3</v>
          </cell>
        </row>
        <row r="257">
          <cell r="A257">
            <v>2480</v>
          </cell>
          <cell r="H257">
            <v>5.3</v>
          </cell>
        </row>
        <row r="258">
          <cell r="A258">
            <v>2490</v>
          </cell>
          <cell r="H258">
            <v>5.3</v>
          </cell>
        </row>
        <row r="259">
          <cell r="A259">
            <v>2500</v>
          </cell>
          <cell r="H259">
            <v>5.3</v>
          </cell>
        </row>
        <row r="260">
          <cell r="A260">
            <v>2510</v>
          </cell>
          <cell r="H260">
            <v>5.3</v>
          </cell>
        </row>
        <row r="261">
          <cell r="A261">
            <v>2520</v>
          </cell>
          <cell r="H261">
            <v>5.3</v>
          </cell>
        </row>
        <row r="262">
          <cell r="A262">
            <v>2530</v>
          </cell>
          <cell r="H262">
            <v>5.3</v>
          </cell>
        </row>
        <row r="263">
          <cell r="A263">
            <v>2540</v>
          </cell>
          <cell r="H263">
            <v>5.3</v>
          </cell>
        </row>
        <row r="264">
          <cell r="A264">
            <v>2550</v>
          </cell>
          <cell r="H264">
            <v>5.3</v>
          </cell>
        </row>
        <row r="265">
          <cell r="A265">
            <v>2560</v>
          </cell>
          <cell r="H265">
            <v>5.3</v>
          </cell>
        </row>
        <row r="266">
          <cell r="A266">
            <v>2570</v>
          </cell>
          <cell r="H266">
            <v>5.3</v>
          </cell>
        </row>
        <row r="267">
          <cell r="A267">
            <v>2580</v>
          </cell>
          <cell r="H267">
            <v>5.3</v>
          </cell>
        </row>
        <row r="268">
          <cell r="A268">
            <v>2590</v>
          </cell>
          <cell r="H268">
            <v>5.3</v>
          </cell>
        </row>
        <row r="269">
          <cell r="A269">
            <v>2600</v>
          </cell>
          <cell r="H269">
            <v>5.3</v>
          </cell>
        </row>
        <row r="270">
          <cell r="A270">
            <v>2610</v>
          </cell>
          <cell r="H270">
            <v>5.3</v>
          </cell>
        </row>
        <row r="271">
          <cell r="A271">
            <v>2620</v>
          </cell>
          <cell r="H271">
            <v>5.3</v>
          </cell>
        </row>
        <row r="272">
          <cell r="A272">
            <v>2630</v>
          </cell>
          <cell r="H272">
            <v>5.3</v>
          </cell>
        </row>
        <row r="273">
          <cell r="A273">
            <v>2640</v>
          </cell>
          <cell r="H273">
            <v>5.3</v>
          </cell>
        </row>
        <row r="274">
          <cell r="A274">
            <v>2650</v>
          </cell>
          <cell r="H274">
            <v>5.3</v>
          </cell>
        </row>
        <row r="275">
          <cell r="A275">
            <v>2660</v>
          </cell>
          <cell r="H275">
            <v>5.3</v>
          </cell>
        </row>
        <row r="276">
          <cell r="A276">
            <v>2670</v>
          </cell>
          <cell r="H276">
            <v>5.3</v>
          </cell>
        </row>
        <row r="277">
          <cell r="A277">
            <v>2680</v>
          </cell>
          <cell r="H277">
            <v>5.3</v>
          </cell>
        </row>
        <row r="278">
          <cell r="A278">
            <v>2690</v>
          </cell>
          <cell r="H278">
            <v>5.3</v>
          </cell>
        </row>
        <row r="279">
          <cell r="A279">
            <v>2700</v>
          </cell>
          <cell r="H279">
            <v>5.3</v>
          </cell>
        </row>
        <row r="280">
          <cell r="A280">
            <v>2710</v>
          </cell>
          <cell r="H280">
            <v>5.3</v>
          </cell>
        </row>
        <row r="281">
          <cell r="A281">
            <v>2720</v>
          </cell>
          <cell r="H281">
            <v>5.3</v>
          </cell>
        </row>
        <row r="282">
          <cell r="A282">
            <v>2730</v>
          </cell>
          <cell r="H282">
            <v>5.3</v>
          </cell>
        </row>
        <row r="283">
          <cell r="A283">
            <v>2740</v>
          </cell>
          <cell r="H283">
            <v>5.3</v>
          </cell>
        </row>
        <row r="284">
          <cell r="A284">
            <v>2750</v>
          </cell>
          <cell r="H284">
            <v>5.3</v>
          </cell>
        </row>
        <row r="285">
          <cell r="A285">
            <v>2760</v>
          </cell>
          <cell r="H285">
            <v>5.3</v>
          </cell>
        </row>
        <row r="286">
          <cell r="A286">
            <v>2770</v>
          </cell>
          <cell r="H286">
            <v>5.3</v>
          </cell>
        </row>
        <row r="287">
          <cell r="A287">
            <v>2780</v>
          </cell>
          <cell r="H287">
            <v>5.3</v>
          </cell>
        </row>
        <row r="288">
          <cell r="A288">
            <v>2790</v>
          </cell>
          <cell r="H288">
            <v>5.3</v>
          </cell>
        </row>
        <row r="289">
          <cell r="A289">
            <v>2800</v>
          </cell>
          <cell r="H289">
            <v>5.3</v>
          </cell>
        </row>
        <row r="290">
          <cell r="A290">
            <v>2810</v>
          </cell>
          <cell r="H290">
            <v>5.3</v>
          </cell>
        </row>
        <row r="291">
          <cell r="A291">
            <v>2820</v>
          </cell>
          <cell r="D291">
            <v>5</v>
          </cell>
          <cell r="G291">
            <v>5</v>
          </cell>
          <cell r="H291">
            <v>5.3</v>
          </cell>
        </row>
        <row r="292">
          <cell r="A292">
            <v>2830</v>
          </cell>
          <cell r="H292">
            <v>5.3</v>
          </cell>
        </row>
        <row r="293">
          <cell r="A293">
            <v>2840</v>
          </cell>
          <cell r="H293">
            <v>5.3</v>
          </cell>
        </row>
        <row r="294">
          <cell r="A294">
            <v>2850</v>
          </cell>
          <cell r="H294">
            <v>5.3</v>
          </cell>
        </row>
        <row r="295">
          <cell r="A295">
            <v>2860</v>
          </cell>
          <cell r="H295">
            <v>5.3</v>
          </cell>
        </row>
        <row r="296">
          <cell r="A296">
            <v>2870</v>
          </cell>
          <cell r="H296">
            <v>5.3</v>
          </cell>
        </row>
        <row r="297">
          <cell r="A297">
            <v>2880</v>
          </cell>
          <cell r="H297">
            <v>5.3</v>
          </cell>
        </row>
        <row r="298">
          <cell r="A298">
            <v>2890</v>
          </cell>
          <cell r="H298">
            <v>5.3</v>
          </cell>
        </row>
        <row r="299">
          <cell r="A299">
            <v>2900</v>
          </cell>
          <cell r="H299">
            <v>5.3</v>
          </cell>
        </row>
        <row r="300">
          <cell r="A300">
            <v>2910</v>
          </cell>
          <cell r="H300">
            <v>5.3</v>
          </cell>
        </row>
        <row r="301">
          <cell r="A301">
            <v>2920</v>
          </cell>
          <cell r="H301">
            <v>5.3</v>
          </cell>
        </row>
        <row r="302">
          <cell r="A302">
            <v>2930</v>
          </cell>
          <cell r="H302">
            <v>5.3</v>
          </cell>
        </row>
        <row r="303">
          <cell r="A303">
            <v>2940</v>
          </cell>
          <cell r="H303">
            <v>5.3</v>
          </cell>
        </row>
        <row r="304">
          <cell r="A304">
            <v>2950</v>
          </cell>
          <cell r="H304">
            <v>5.3</v>
          </cell>
        </row>
        <row r="305">
          <cell r="A305">
            <v>2960</v>
          </cell>
          <cell r="H305">
            <v>5.3</v>
          </cell>
        </row>
        <row r="306">
          <cell r="A306">
            <v>2970</v>
          </cell>
          <cell r="H306">
            <v>5.3</v>
          </cell>
        </row>
        <row r="307">
          <cell r="A307">
            <v>2980</v>
          </cell>
          <cell r="H307">
            <v>5.3</v>
          </cell>
        </row>
        <row r="308">
          <cell r="A308">
            <v>2990</v>
          </cell>
          <cell r="H308">
            <v>5.3</v>
          </cell>
        </row>
        <row r="309">
          <cell r="A309">
            <v>3000</v>
          </cell>
          <cell r="H309">
            <v>5.3</v>
          </cell>
        </row>
        <row r="310">
          <cell r="A310">
            <v>3010</v>
          </cell>
          <cell r="H310">
            <v>5.3</v>
          </cell>
        </row>
        <row r="311">
          <cell r="A311">
            <v>3020</v>
          </cell>
          <cell r="H311">
            <v>5.3</v>
          </cell>
        </row>
        <row r="312">
          <cell r="A312">
            <v>3030</v>
          </cell>
          <cell r="H312">
            <v>5.3</v>
          </cell>
        </row>
        <row r="313">
          <cell r="A313">
            <v>3040</v>
          </cell>
          <cell r="H313">
            <v>5.3</v>
          </cell>
        </row>
        <row r="314">
          <cell r="A314">
            <v>3050</v>
          </cell>
          <cell r="H314">
            <v>5.3</v>
          </cell>
        </row>
        <row r="315">
          <cell r="A315">
            <v>3060</v>
          </cell>
          <cell r="H315">
            <v>5.3</v>
          </cell>
        </row>
        <row r="316">
          <cell r="A316">
            <v>3070</v>
          </cell>
          <cell r="H316">
            <v>5.3</v>
          </cell>
        </row>
        <row r="317">
          <cell r="A317">
            <v>3080</v>
          </cell>
          <cell r="H317">
            <v>5.3</v>
          </cell>
        </row>
        <row r="318">
          <cell r="A318">
            <v>3090</v>
          </cell>
          <cell r="H318">
            <v>5.3</v>
          </cell>
        </row>
        <row r="319">
          <cell r="A319">
            <v>3100</v>
          </cell>
          <cell r="H319">
            <v>5.3</v>
          </cell>
        </row>
        <row r="320">
          <cell r="A320">
            <v>3110</v>
          </cell>
          <cell r="H320">
            <v>5.3</v>
          </cell>
        </row>
        <row r="321">
          <cell r="A321">
            <v>3120</v>
          </cell>
          <cell r="H321">
            <v>5.3</v>
          </cell>
        </row>
        <row r="322">
          <cell r="A322">
            <v>3130</v>
          </cell>
          <cell r="H322">
            <v>5.3</v>
          </cell>
        </row>
        <row r="323">
          <cell r="A323">
            <v>3140</v>
          </cell>
          <cell r="H323">
            <v>5.3</v>
          </cell>
        </row>
        <row r="324">
          <cell r="A324">
            <v>3150</v>
          </cell>
          <cell r="H324">
            <v>5.3</v>
          </cell>
        </row>
        <row r="325">
          <cell r="A325">
            <v>3160</v>
          </cell>
          <cell r="H325">
            <v>5.3</v>
          </cell>
        </row>
        <row r="326">
          <cell r="A326">
            <v>3170</v>
          </cell>
          <cell r="H326">
            <v>5.3</v>
          </cell>
        </row>
        <row r="327">
          <cell r="A327">
            <v>3180</v>
          </cell>
          <cell r="H327">
            <v>5.3</v>
          </cell>
        </row>
        <row r="328">
          <cell r="A328">
            <v>3190</v>
          </cell>
          <cell r="H328">
            <v>5.3</v>
          </cell>
        </row>
        <row r="329">
          <cell r="A329">
            <v>3200</v>
          </cell>
          <cell r="H329">
            <v>5.3</v>
          </cell>
        </row>
        <row r="330">
          <cell r="A330">
            <v>3210</v>
          </cell>
          <cell r="H330">
            <v>5.3</v>
          </cell>
        </row>
        <row r="331">
          <cell r="A331">
            <v>3220</v>
          </cell>
          <cell r="H331">
            <v>5.3</v>
          </cell>
        </row>
        <row r="332">
          <cell r="A332">
            <v>3230</v>
          </cell>
          <cell r="C332">
            <v>4.9000000000000004</v>
          </cell>
          <cell r="F332">
            <v>5.8</v>
          </cell>
          <cell r="H332">
            <v>5.3</v>
          </cell>
        </row>
        <row r="333">
          <cell r="A333">
            <v>3240</v>
          </cell>
          <cell r="H333">
            <v>5.3</v>
          </cell>
        </row>
        <row r="334">
          <cell r="A334">
            <v>3250</v>
          </cell>
          <cell r="H334">
            <v>5.3</v>
          </cell>
        </row>
        <row r="335">
          <cell r="A335">
            <v>3260</v>
          </cell>
          <cell r="H335">
            <v>5.3</v>
          </cell>
        </row>
        <row r="336">
          <cell r="A336">
            <v>3270</v>
          </cell>
          <cell r="H336">
            <v>5.3</v>
          </cell>
        </row>
        <row r="337">
          <cell r="A337">
            <v>3280</v>
          </cell>
          <cell r="H337">
            <v>5.3</v>
          </cell>
        </row>
        <row r="338">
          <cell r="A338">
            <v>3290</v>
          </cell>
          <cell r="H338">
            <v>5.3</v>
          </cell>
        </row>
        <row r="339">
          <cell r="A339">
            <v>3300</v>
          </cell>
          <cell r="H339">
            <v>5.3</v>
          </cell>
        </row>
        <row r="340">
          <cell r="A340">
            <v>3310</v>
          </cell>
          <cell r="H340">
            <v>5.3</v>
          </cell>
        </row>
        <row r="341">
          <cell r="A341">
            <v>3320</v>
          </cell>
          <cell r="H341">
            <v>5.3</v>
          </cell>
        </row>
        <row r="342">
          <cell r="A342">
            <v>3330</v>
          </cell>
          <cell r="H342">
            <v>5.3</v>
          </cell>
        </row>
        <row r="343">
          <cell r="A343">
            <v>3340</v>
          </cell>
          <cell r="H343">
            <v>5.3</v>
          </cell>
        </row>
        <row r="344">
          <cell r="A344">
            <v>3350</v>
          </cell>
          <cell r="H344">
            <v>5.3</v>
          </cell>
        </row>
        <row r="345">
          <cell r="A345">
            <v>3360</v>
          </cell>
          <cell r="H345">
            <v>5.3</v>
          </cell>
        </row>
        <row r="346">
          <cell r="A346">
            <v>3370</v>
          </cell>
          <cell r="H346">
            <v>5.3</v>
          </cell>
        </row>
        <row r="347">
          <cell r="A347">
            <v>3380</v>
          </cell>
          <cell r="H347">
            <v>5.3</v>
          </cell>
        </row>
        <row r="348">
          <cell r="A348">
            <v>3390</v>
          </cell>
          <cell r="H348">
            <v>5.3</v>
          </cell>
        </row>
        <row r="349">
          <cell r="A349">
            <v>3400</v>
          </cell>
          <cell r="H349">
            <v>5.3</v>
          </cell>
        </row>
        <row r="350">
          <cell r="A350">
            <v>3410</v>
          </cell>
          <cell r="H350">
            <v>5.3</v>
          </cell>
        </row>
        <row r="351">
          <cell r="A351">
            <v>3420</v>
          </cell>
          <cell r="H351">
            <v>5.3</v>
          </cell>
        </row>
        <row r="352">
          <cell r="A352">
            <v>3430</v>
          </cell>
          <cell r="H352">
            <v>5.3</v>
          </cell>
        </row>
        <row r="353">
          <cell r="A353">
            <v>3440</v>
          </cell>
          <cell r="H353">
            <v>5.3</v>
          </cell>
        </row>
        <row r="354">
          <cell r="A354">
            <v>3450</v>
          </cell>
          <cell r="H354">
            <v>5.3</v>
          </cell>
        </row>
        <row r="355">
          <cell r="A355">
            <v>3460</v>
          </cell>
          <cell r="H355">
            <v>5.3</v>
          </cell>
        </row>
        <row r="356">
          <cell r="A356">
            <v>3470</v>
          </cell>
          <cell r="H356">
            <v>5.3</v>
          </cell>
        </row>
        <row r="357">
          <cell r="A357">
            <v>3480</v>
          </cell>
          <cell r="H357">
            <v>5.3</v>
          </cell>
        </row>
        <row r="358">
          <cell r="A358">
            <v>3490</v>
          </cell>
          <cell r="H358">
            <v>5.3</v>
          </cell>
        </row>
        <row r="359">
          <cell r="A359">
            <v>3500</v>
          </cell>
          <cell r="H359">
            <v>5.3</v>
          </cell>
        </row>
        <row r="360">
          <cell r="A360">
            <v>3510</v>
          </cell>
          <cell r="H360">
            <v>5.3</v>
          </cell>
        </row>
        <row r="361">
          <cell r="A361">
            <v>3520</v>
          </cell>
          <cell r="H361">
            <v>5.3</v>
          </cell>
        </row>
        <row r="362">
          <cell r="A362">
            <v>3530</v>
          </cell>
          <cell r="H362">
            <v>5.3</v>
          </cell>
        </row>
        <row r="363">
          <cell r="A363">
            <v>3540</v>
          </cell>
          <cell r="H363">
            <v>5.3</v>
          </cell>
        </row>
        <row r="364">
          <cell r="A364">
            <v>3550</v>
          </cell>
          <cell r="H364">
            <v>5.3</v>
          </cell>
        </row>
        <row r="365">
          <cell r="A365">
            <v>3560</v>
          </cell>
          <cell r="H365">
            <v>5.3</v>
          </cell>
        </row>
        <row r="366">
          <cell r="A366">
            <v>3570</v>
          </cell>
          <cell r="H366">
            <v>5.3</v>
          </cell>
        </row>
        <row r="367">
          <cell r="A367">
            <v>3580</v>
          </cell>
          <cell r="F367">
            <v>5.7</v>
          </cell>
          <cell r="H367">
            <v>5.3</v>
          </cell>
        </row>
        <row r="368">
          <cell r="A368">
            <v>3590</v>
          </cell>
          <cell r="H368">
            <v>5.3</v>
          </cell>
        </row>
        <row r="369">
          <cell r="A369">
            <v>3600</v>
          </cell>
          <cell r="H369">
            <v>5.3</v>
          </cell>
        </row>
        <row r="370">
          <cell r="A370">
            <v>3610</v>
          </cell>
          <cell r="H370">
            <v>5.3</v>
          </cell>
        </row>
        <row r="371">
          <cell r="A371">
            <v>3620</v>
          </cell>
          <cell r="H371">
            <v>5.3</v>
          </cell>
        </row>
        <row r="372">
          <cell r="A372">
            <v>3630</v>
          </cell>
          <cell r="B372">
            <v>4.9000000000000004</v>
          </cell>
          <cell r="H372">
            <v>5.3</v>
          </cell>
        </row>
        <row r="373">
          <cell r="A373">
            <v>3640</v>
          </cell>
          <cell r="H373">
            <v>5.3</v>
          </cell>
        </row>
        <row r="374">
          <cell r="A374">
            <v>3650</v>
          </cell>
          <cell r="H374">
            <v>5.3</v>
          </cell>
        </row>
        <row r="375">
          <cell r="A375">
            <v>3660</v>
          </cell>
          <cell r="H375">
            <v>5.3</v>
          </cell>
        </row>
        <row r="376">
          <cell r="A376">
            <v>3670</v>
          </cell>
          <cell r="H376">
            <v>5.3</v>
          </cell>
        </row>
        <row r="377">
          <cell r="A377">
            <v>3680</v>
          </cell>
          <cell r="H377">
            <v>5.3</v>
          </cell>
        </row>
        <row r="378">
          <cell r="A378">
            <v>3690</v>
          </cell>
          <cell r="H378">
            <v>5.3</v>
          </cell>
        </row>
        <row r="379">
          <cell r="A379">
            <v>3700</v>
          </cell>
          <cell r="C379">
            <v>5.5</v>
          </cell>
          <cell r="F379">
            <v>6.3</v>
          </cell>
          <cell r="H379">
            <v>5.3</v>
          </cell>
        </row>
        <row r="380">
          <cell r="A380">
            <v>3710</v>
          </cell>
          <cell r="H380">
            <v>5.3</v>
          </cell>
        </row>
        <row r="381">
          <cell r="A381">
            <v>3720</v>
          </cell>
          <cell r="H381">
            <v>5.3</v>
          </cell>
        </row>
        <row r="382">
          <cell r="A382">
            <v>3730</v>
          </cell>
          <cell r="H382">
            <v>5.3</v>
          </cell>
        </row>
        <row r="383">
          <cell r="A383">
            <v>3740</v>
          </cell>
          <cell r="H383">
            <v>5.3</v>
          </cell>
        </row>
        <row r="384">
          <cell r="A384">
            <v>3750</v>
          </cell>
          <cell r="H384">
            <v>5.3</v>
          </cell>
        </row>
        <row r="385">
          <cell r="A385">
            <v>3760</v>
          </cell>
          <cell r="H385">
            <v>5.3</v>
          </cell>
        </row>
        <row r="386">
          <cell r="A386">
            <v>3770</v>
          </cell>
          <cell r="H386">
            <v>5.3</v>
          </cell>
        </row>
        <row r="387">
          <cell r="A387">
            <v>3780</v>
          </cell>
          <cell r="H387">
            <v>5.3</v>
          </cell>
        </row>
        <row r="388">
          <cell r="A388">
            <v>3790</v>
          </cell>
          <cell r="H388">
            <v>5.3</v>
          </cell>
        </row>
        <row r="389">
          <cell r="A389">
            <v>3800</v>
          </cell>
          <cell r="H389">
            <v>5.3</v>
          </cell>
        </row>
        <row r="390">
          <cell r="A390">
            <v>3810</v>
          </cell>
          <cell r="H390">
            <v>5.3</v>
          </cell>
        </row>
        <row r="391">
          <cell r="A391">
            <v>3820</v>
          </cell>
          <cell r="H391">
            <v>5.3</v>
          </cell>
        </row>
        <row r="392">
          <cell r="A392">
            <v>3830</v>
          </cell>
          <cell r="H392">
            <v>5.3</v>
          </cell>
        </row>
        <row r="393">
          <cell r="A393">
            <v>3840</v>
          </cell>
          <cell r="H393">
            <v>5.3</v>
          </cell>
        </row>
        <row r="394">
          <cell r="A394">
            <v>3850</v>
          </cell>
          <cell r="H394">
            <v>5.3</v>
          </cell>
        </row>
        <row r="395">
          <cell r="A395">
            <v>3860</v>
          </cell>
          <cell r="H395">
            <v>5.3</v>
          </cell>
        </row>
        <row r="396">
          <cell r="A396">
            <v>3870</v>
          </cell>
          <cell r="H396">
            <v>5.3</v>
          </cell>
        </row>
        <row r="397">
          <cell r="A397">
            <v>3880</v>
          </cell>
          <cell r="H397">
            <v>5.3</v>
          </cell>
        </row>
        <row r="398">
          <cell r="A398">
            <v>3890</v>
          </cell>
          <cell r="H398">
            <v>5.3</v>
          </cell>
        </row>
        <row r="399">
          <cell r="A399">
            <v>3900</v>
          </cell>
          <cell r="H399">
            <v>5.3</v>
          </cell>
        </row>
        <row r="400">
          <cell r="A400">
            <v>3910</v>
          </cell>
          <cell r="H400">
            <v>5.3</v>
          </cell>
        </row>
        <row r="401">
          <cell r="A401">
            <v>3920</v>
          </cell>
          <cell r="H401">
            <v>5.3</v>
          </cell>
        </row>
        <row r="402">
          <cell r="A402">
            <v>3930</v>
          </cell>
          <cell r="H402">
            <v>5.3</v>
          </cell>
        </row>
        <row r="403">
          <cell r="A403">
            <v>3940</v>
          </cell>
          <cell r="H403">
            <v>5.3</v>
          </cell>
        </row>
        <row r="404">
          <cell r="A404">
            <v>3950</v>
          </cell>
          <cell r="H404">
            <v>5.3</v>
          </cell>
        </row>
        <row r="405">
          <cell r="A405">
            <v>3960</v>
          </cell>
          <cell r="H405">
            <v>5.3</v>
          </cell>
        </row>
        <row r="406">
          <cell r="A406">
            <v>3970</v>
          </cell>
          <cell r="H406">
            <v>5.3</v>
          </cell>
        </row>
        <row r="407">
          <cell r="A407">
            <v>3980</v>
          </cell>
          <cell r="H407">
            <v>5.3</v>
          </cell>
        </row>
        <row r="408">
          <cell r="A408">
            <v>3990</v>
          </cell>
          <cell r="H408">
            <v>5.3</v>
          </cell>
        </row>
        <row r="409">
          <cell r="A409">
            <v>4000</v>
          </cell>
          <cell r="C409">
            <v>5.5</v>
          </cell>
          <cell r="F409">
            <v>5.5</v>
          </cell>
          <cell r="H409">
            <v>5.3</v>
          </cell>
        </row>
        <row r="410">
          <cell r="A410">
            <v>4010</v>
          </cell>
          <cell r="H410">
            <v>5.3</v>
          </cell>
        </row>
        <row r="411">
          <cell r="A411">
            <v>4020</v>
          </cell>
          <cell r="H411">
            <v>5.3</v>
          </cell>
        </row>
        <row r="412">
          <cell r="A412">
            <v>4030</v>
          </cell>
          <cell r="H412">
            <v>5.3</v>
          </cell>
        </row>
        <row r="413">
          <cell r="A413">
            <v>4040</v>
          </cell>
          <cell r="H413">
            <v>5.3</v>
          </cell>
        </row>
        <row r="414">
          <cell r="A414">
            <v>4050</v>
          </cell>
          <cell r="H414">
            <v>5.3</v>
          </cell>
        </row>
        <row r="415">
          <cell r="A415">
            <v>4060</v>
          </cell>
          <cell r="H415">
            <v>5.3</v>
          </cell>
        </row>
        <row r="416">
          <cell r="A416">
            <v>4070</v>
          </cell>
          <cell r="H416">
            <v>5.3</v>
          </cell>
        </row>
        <row r="417">
          <cell r="A417">
            <v>4080</v>
          </cell>
          <cell r="H417">
            <v>5.3</v>
          </cell>
        </row>
        <row r="418">
          <cell r="A418">
            <v>4090</v>
          </cell>
          <cell r="H418">
            <v>5.3</v>
          </cell>
        </row>
        <row r="419">
          <cell r="A419">
            <v>4100</v>
          </cell>
          <cell r="H419">
            <v>5.3</v>
          </cell>
        </row>
        <row r="420">
          <cell r="A420">
            <v>4110</v>
          </cell>
          <cell r="H420">
            <v>5.3</v>
          </cell>
        </row>
        <row r="421">
          <cell r="A421">
            <v>4120</v>
          </cell>
          <cell r="H421">
            <v>5.3</v>
          </cell>
        </row>
        <row r="422">
          <cell r="A422">
            <v>4130</v>
          </cell>
          <cell r="H422">
            <v>5.3</v>
          </cell>
        </row>
        <row r="423">
          <cell r="A423">
            <v>4140</v>
          </cell>
          <cell r="H423">
            <v>5.3</v>
          </cell>
        </row>
        <row r="424">
          <cell r="A424">
            <v>4150</v>
          </cell>
          <cell r="H424">
            <v>5.3</v>
          </cell>
        </row>
        <row r="425">
          <cell r="A425">
            <v>4160</v>
          </cell>
          <cell r="H425">
            <v>5.3</v>
          </cell>
        </row>
        <row r="426">
          <cell r="A426">
            <v>4170</v>
          </cell>
          <cell r="H426">
            <v>5.3</v>
          </cell>
        </row>
        <row r="427">
          <cell r="A427">
            <v>4180</v>
          </cell>
          <cell r="H427">
            <v>5.3</v>
          </cell>
        </row>
        <row r="428">
          <cell r="A428">
            <v>4190</v>
          </cell>
          <cell r="H428">
            <v>5.3</v>
          </cell>
        </row>
        <row r="429">
          <cell r="A429">
            <v>4200</v>
          </cell>
          <cell r="H429">
            <v>5.3</v>
          </cell>
        </row>
        <row r="430">
          <cell r="A430">
            <v>4210</v>
          </cell>
          <cell r="H430">
            <v>5.3</v>
          </cell>
        </row>
        <row r="431">
          <cell r="A431">
            <v>4220</v>
          </cell>
          <cell r="H431">
            <v>5.3</v>
          </cell>
        </row>
        <row r="432">
          <cell r="A432">
            <v>4230</v>
          </cell>
          <cell r="H432">
            <v>5.3</v>
          </cell>
        </row>
        <row r="433">
          <cell r="A433">
            <v>4240</v>
          </cell>
          <cell r="H433">
            <v>5.3</v>
          </cell>
        </row>
        <row r="434">
          <cell r="A434">
            <v>4250</v>
          </cell>
          <cell r="H434">
            <v>5.3</v>
          </cell>
        </row>
        <row r="435">
          <cell r="A435">
            <v>4260</v>
          </cell>
          <cell r="H435">
            <v>5.3</v>
          </cell>
        </row>
        <row r="436">
          <cell r="A436">
            <v>4270</v>
          </cell>
          <cell r="H436">
            <v>5.3</v>
          </cell>
        </row>
        <row r="437">
          <cell r="A437">
            <v>4280</v>
          </cell>
          <cell r="H437">
            <v>5.3</v>
          </cell>
        </row>
        <row r="438">
          <cell r="A438">
            <v>4290</v>
          </cell>
          <cell r="H438">
            <v>5.3</v>
          </cell>
        </row>
        <row r="439">
          <cell r="A439">
            <v>4300</v>
          </cell>
          <cell r="C439">
            <v>6.8</v>
          </cell>
          <cell r="F439">
            <v>6</v>
          </cell>
          <cell r="H439">
            <v>5.3</v>
          </cell>
        </row>
        <row r="440">
          <cell r="A440">
            <v>4310</v>
          </cell>
          <cell r="H440">
            <v>5.3</v>
          </cell>
        </row>
        <row r="441">
          <cell r="A441">
            <v>4320</v>
          </cell>
          <cell r="H441">
            <v>5.3</v>
          </cell>
        </row>
        <row r="442">
          <cell r="A442">
            <v>4330</v>
          </cell>
          <cell r="H442">
            <v>5.3</v>
          </cell>
        </row>
        <row r="443">
          <cell r="A443">
            <v>4340</v>
          </cell>
          <cell r="H443">
            <v>5.3</v>
          </cell>
        </row>
        <row r="444">
          <cell r="A444">
            <v>4350</v>
          </cell>
          <cell r="H444">
            <v>5.3</v>
          </cell>
        </row>
        <row r="445">
          <cell r="A445">
            <v>4360</v>
          </cell>
          <cell r="H445">
            <v>5.3</v>
          </cell>
        </row>
        <row r="446">
          <cell r="A446">
            <v>4370</v>
          </cell>
          <cell r="H446">
            <v>5.3</v>
          </cell>
        </row>
        <row r="447">
          <cell r="A447">
            <v>4380</v>
          </cell>
          <cell r="H447">
            <v>5.3</v>
          </cell>
        </row>
        <row r="448">
          <cell r="A448">
            <v>4390</v>
          </cell>
          <cell r="H448">
            <v>5.3</v>
          </cell>
        </row>
        <row r="449">
          <cell r="A449">
            <v>4400</v>
          </cell>
          <cell r="H449">
            <v>5.3</v>
          </cell>
        </row>
        <row r="450">
          <cell r="A450">
            <v>4410</v>
          </cell>
          <cell r="H450">
            <v>5.3</v>
          </cell>
        </row>
        <row r="451">
          <cell r="A451">
            <v>4420</v>
          </cell>
          <cell r="H451">
            <v>5.3</v>
          </cell>
        </row>
        <row r="452">
          <cell r="A452">
            <v>4430</v>
          </cell>
          <cell r="H452">
            <v>5.3</v>
          </cell>
        </row>
        <row r="453">
          <cell r="A453">
            <v>4440</v>
          </cell>
          <cell r="H453">
            <v>5.3</v>
          </cell>
        </row>
        <row r="454">
          <cell r="A454">
            <v>4450</v>
          </cell>
          <cell r="H454">
            <v>5.3</v>
          </cell>
        </row>
        <row r="455">
          <cell r="A455">
            <v>4460</v>
          </cell>
          <cell r="H455">
            <v>5.3</v>
          </cell>
        </row>
        <row r="456">
          <cell r="A456">
            <v>4470</v>
          </cell>
          <cell r="H456">
            <v>5.3</v>
          </cell>
        </row>
        <row r="457">
          <cell r="A457">
            <v>4480</v>
          </cell>
          <cell r="H457">
            <v>5.3</v>
          </cell>
        </row>
        <row r="458">
          <cell r="A458">
            <v>4490</v>
          </cell>
          <cell r="H458">
            <v>5.3</v>
          </cell>
        </row>
        <row r="459">
          <cell r="A459">
            <v>4500</v>
          </cell>
          <cell r="H459">
            <v>5.3</v>
          </cell>
        </row>
        <row r="460">
          <cell r="A460">
            <v>4510</v>
          </cell>
          <cell r="H460">
            <v>5.3</v>
          </cell>
        </row>
        <row r="461">
          <cell r="A461">
            <v>4520</v>
          </cell>
          <cell r="H461">
            <v>5.3</v>
          </cell>
        </row>
        <row r="462">
          <cell r="A462">
            <v>4530</v>
          </cell>
          <cell r="H462">
            <v>5.3</v>
          </cell>
        </row>
        <row r="463">
          <cell r="A463">
            <v>4540</v>
          </cell>
          <cell r="H463">
            <v>5.3</v>
          </cell>
        </row>
        <row r="464">
          <cell r="A464">
            <v>4550</v>
          </cell>
          <cell r="H464">
            <v>5.3</v>
          </cell>
        </row>
        <row r="465">
          <cell r="A465">
            <v>4560</v>
          </cell>
          <cell r="H465">
            <v>5.3</v>
          </cell>
        </row>
        <row r="466">
          <cell r="A466">
            <v>4570</v>
          </cell>
          <cell r="H466">
            <v>5.3</v>
          </cell>
        </row>
        <row r="467">
          <cell r="A467">
            <v>4580</v>
          </cell>
          <cell r="H467">
            <v>5.3</v>
          </cell>
        </row>
        <row r="468">
          <cell r="A468">
            <v>4590</v>
          </cell>
          <cell r="H468">
            <v>5.3</v>
          </cell>
        </row>
        <row r="469">
          <cell r="A469">
            <v>4600</v>
          </cell>
          <cell r="H469">
            <v>5.3</v>
          </cell>
        </row>
        <row r="470">
          <cell r="A470">
            <v>4610</v>
          </cell>
          <cell r="H470">
            <v>5.3</v>
          </cell>
        </row>
        <row r="471">
          <cell r="A471">
            <v>4620</v>
          </cell>
          <cell r="H471">
            <v>5.3</v>
          </cell>
        </row>
        <row r="472">
          <cell r="A472">
            <v>4630</v>
          </cell>
          <cell r="H472">
            <v>5.3</v>
          </cell>
        </row>
        <row r="473">
          <cell r="A473">
            <v>4640</v>
          </cell>
          <cell r="H473">
            <v>5.3</v>
          </cell>
        </row>
        <row r="474">
          <cell r="A474">
            <v>4650</v>
          </cell>
          <cell r="H474">
            <v>5.3</v>
          </cell>
        </row>
        <row r="475">
          <cell r="A475">
            <v>4660</v>
          </cell>
          <cell r="H475">
            <v>5.3</v>
          </cell>
        </row>
        <row r="476">
          <cell r="A476">
            <v>4670</v>
          </cell>
          <cell r="H476">
            <v>5.3</v>
          </cell>
        </row>
        <row r="477">
          <cell r="A477">
            <v>4680</v>
          </cell>
          <cell r="H477">
            <v>5.3</v>
          </cell>
        </row>
        <row r="478">
          <cell r="A478">
            <v>4690</v>
          </cell>
          <cell r="H478">
            <v>5.3</v>
          </cell>
        </row>
        <row r="479">
          <cell r="A479">
            <v>4700</v>
          </cell>
          <cell r="B479">
            <v>5.2</v>
          </cell>
          <cell r="E479">
            <v>5</v>
          </cell>
          <cell r="H479">
            <v>5.3</v>
          </cell>
        </row>
        <row r="480">
          <cell r="A480">
            <v>4710</v>
          </cell>
          <cell r="H480">
            <v>5.3</v>
          </cell>
        </row>
        <row r="481">
          <cell r="A481">
            <v>4720</v>
          </cell>
          <cell r="H481">
            <v>5.3</v>
          </cell>
        </row>
        <row r="482">
          <cell r="A482">
            <v>4730</v>
          </cell>
          <cell r="H482">
            <v>5.3</v>
          </cell>
        </row>
        <row r="483">
          <cell r="A483">
            <v>4740</v>
          </cell>
          <cell r="H483">
            <v>5.3</v>
          </cell>
        </row>
        <row r="484">
          <cell r="A484">
            <v>4750</v>
          </cell>
          <cell r="H484">
            <v>5.3</v>
          </cell>
        </row>
        <row r="485">
          <cell r="A485">
            <v>4760</v>
          </cell>
          <cell r="H485">
            <v>5.3</v>
          </cell>
        </row>
        <row r="486">
          <cell r="A486">
            <v>4770</v>
          </cell>
          <cell r="H486">
            <v>5.3</v>
          </cell>
        </row>
        <row r="487">
          <cell r="A487">
            <v>4780</v>
          </cell>
          <cell r="H487">
            <v>5.3</v>
          </cell>
        </row>
        <row r="488">
          <cell r="A488">
            <v>4790</v>
          </cell>
          <cell r="H488">
            <v>5.3</v>
          </cell>
        </row>
        <row r="489">
          <cell r="A489">
            <v>4800</v>
          </cell>
          <cell r="H489">
            <v>5.3</v>
          </cell>
        </row>
        <row r="490">
          <cell r="A490">
            <v>4810</v>
          </cell>
          <cell r="H490">
            <v>5.3</v>
          </cell>
        </row>
        <row r="491">
          <cell r="A491">
            <v>4820</v>
          </cell>
          <cell r="H491">
            <v>5.3</v>
          </cell>
        </row>
        <row r="492">
          <cell r="A492">
            <v>4830</v>
          </cell>
          <cell r="H492">
            <v>5.3</v>
          </cell>
        </row>
        <row r="493">
          <cell r="A493">
            <v>4840</v>
          </cell>
          <cell r="H493">
            <v>5.3</v>
          </cell>
        </row>
        <row r="494">
          <cell r="A494">
            <v>4850</v>
          </cell>
          <cell r="H494">
            <v>5.3</v>
          </cell>
        </row>
        <row r="495">
          <cell r="A495">
            <v>4860</v>
          </cell>
          <cell r="H495">
            <v>5.3</v>
          </cell>
        </row>
        <row r="496">
          <cell r="A496">
            <v>4870</v>
          </cell>
          <cell r="H496">
            <v>5.3</v>
          </cell>
        </row>
        <row r="497">
          <cell r="A497">
            <v>4880</v>
          </cell>
          <cell r="H497">
            <v>5.3</v>
          </cell>
        </row>
        <row r="498">
          <cell r="A498">
            <v>4890</v>
          </cell>
          <cell r="H498">
            <v>5.3</v>
          </cell>
        </row>
        <row r="499">
          <cell r="A499">
            <v>4900</v>
          </cell>
          <cell r="H499">
            <v>5.3</v>
          </cell>
        </row>
        <row r="500">
          <cell r="A500">
            <v>4910</v>
          </cell>
          <cell r="H500">
            <v>5.3</v>
          </cell>
        </row>
        <row r="501">
          <cell r="A501">
            <v>4920</v>
          </cell>
          <cell r="H501">
            <v>5.3</v>
          </cell>
        </row>
        <row r="502">
          <cell r="A502">
            <v>4930</v>
          </cell>
          <cell r="H502">
            <v>5.3</v>
          </cell>
        </row>
        <row r="503">
          <cell r="A503">
            <v>4940</v>
          </cell>
          <cell r="H503">
            <v>5.3</v>
          </cell>
        </row>
        <row r="504">
          <cell r="A504">
            <v>4950</v>
          </cell>
          <cell r="H504">
            <v>5.3</v>
          </cell>
        </row>
        <row r="505">
          <cell r="A505">
            <v>4960</v>
          </cell>
          <cell r="H505">
            <v>5.3</v>
          </cell>
        </row>
        <row r="506">
          <cell r="A506">
            <v>4970</v>
          </cell>
          <cell r="H506">
            <v>5.3</v>
          </cell>
        </row>
        <row r="507">
          <cell r="A507">
            <v>4980</v>
          </cell>
          <cell r="H507">
            <v>5.3</v>
          </cell>
        </row>
        <row r="508">
          <cell r="A508">
            <v>4990</v>
          </cell>
          <cell r="H508">
            <v>5.3</v>
          </cell>
        </row>
        <row r="509">
          <cell r="A509">
            <v>5000</v>
          </cell>
          <cell r="H509">
            <v>5.3</v>
          </cell>
        </row>
        <row r="510">
          <cell r="A510">
            <v>5010</v>
          </cell>
          <cell r="H510">
            <v>5.3</v>
          </cell>
        </row>
        <row r="511">
          <cell r="A511">
            <v>5020</v>
          </cell>
          <cell r="C511">
            <v>5.4</v>
          </cell>
          <cell r="H511">
            <v>5.3</v>
          </cell>
        </row>
        <row r="512">
          <cell r="A512">
            <v>5030</v>
          </cell>
          <cell r="H512">
            <v>5.3</v>
          </cell>
        </row>
        <row r="513">
          <cell r="A513">
            <v>5040</v>
          </cell>
          <cell r="H513">
            <v>5.3</v>
          </cell>
        </row>
        <row r="514">
          <cell r="A514">
            <v>5050</v>
          </cell>
          <cell r="H514">
            <v>5.3</v>
          </cell>
        </row>
        <row r="515">
          <cell r="A515">
            <v>5060</v>
          </cell>
          <cell r="H515">
            <v>5.3</v>
          </cell>
        </row>
        <row r="516">
          <cell r="A516">
            <v>5070</v>
          </cell>
          <cell r="H516">
            <v>5.3</v>
          </cell>
        </row>
        <row r="517">
          <cell r="A517">
            <v>5080</v>
          </cell>
          <cell r="H517">
            <v>5.3</v>
          </cell>
        </row>
        <row r="518">
          <cell r="A518">
            <v>5090</v>
          </cell>
          <cell r="H518">
            <v>5.3</v>
          </cell>
        </row>
        <row r="519">
          <cell r="A519">
            <v>5100</v>
          </cell>
          <cell r="G519">
            <v>5</v>
          </cell>
          <cell r="H519">
            <v>5.3</v>
          </cell>
        </row>
        <row r="520">
          <cell r="A520">
            <v>5110</v>
          </cell>
          <cell r="H520">
            <v>5.3</v>
          </cell>
        </row>
        <row r="521">
          <cell r="A521">
            <v>5120</v>
          </cell>
          <cell r="H521">
            <v>5.3</v>
          </cell>
        </row>
        <row r="522">
          <cell r="A522">
            <v>5130</v>
          </cell>
          <cell r="H522">
            <v>5.3</v>
          </cell>
        </row>
        <row r="523">
          <cell r="A523">
            <v>5140</v>
          </cell>
          <cell r="H523">
            <v>5.3</v>
          </cell>
        </row>
        <row r="524">
          <cell r="A524">
            <v>5150</v>
          </cell>
          <cell r="H524">
            <v>5.3</v>
          </cell>
        </row>
        <row r="525">
          <cell r="A525">
            <v>5160</v>
          </cell>
          <cell r="H525">
            <v>5.3</v>
          </cell>
        </row>
        <row r="526">
          <cell r="A526">
            <v>5170</v>
          </cell>
          <cell r="H526">
            <v>5.3</v>
          </cell>
        </row>
        <row r="527">
          <cell r="A527">
            <v>5180</v>
          </cell>
          <cell r="H527">
            <v>5.3</v>
          </cell>
        </row>
        <row r="528">
          <cell r="A528">
            <v>5190</v>
          </cell>
          <cell r="H528">
            <v>5.3</v>
          </cell>
        </row>
        <row r="529">
          <cell r="A529">
            <v>5200</v>
          </cell>
          <cell r="H529">
            <v>5.3</v>
          </cell>
        </row>
        <row r="530">
          <cell r="A530">
            <v>5210</v>
          </cell>
          <cell r="H530">
            <v>5.3</v>
          </cell>
        </row>
        <row r="531">
          <cell r="A531">
            <v>5220</v>
          </cell>
          <cell r="H531">
            <v>5.3</v>
          </cell>
        </row>
        <row r="532">
          <cell r="A532">
            <v>5230</v>
          </cell>
          <cell r="H532">
            <v>5.3</v>
          </cell>
        </row>
        <row r="533">
          <cell r="A533">
            <v>5240</v>
          </cell>
          <cell r="H533">
            <v>5.3</v>
          </cell>
        </row>
        <row r="534">
          <cell r="A534">
            <v>5250</v>
          </cell>
          <cell r="H534">
            <v>5.3</v>
          </cell>
        </row>
        <row r="535">
          <cell r="A535">
            <v>5260</v>
          </cell>
          <cell r="H535">
            <v>5.3</v>
          </cell>
        </row>
        <row r="536">
          <cell r="A536">
            <v>5270</v>
          </cell>
          <cell r="H536">
            <v>5.3</v>
          </cell>
        </row>
        <row r="537">
          <cell r="A537">
            <v>5280</v>
          </cell>
          <cell r="H537">
            <v>5.3</v>
          </cell>
        </row>
        <row r="538">
          <cell r="A538">
            <v>5290</v>
          </cell>
          <cell r="H538">
            <v>5.3</v>
          </cell>
        </row>
        <row r="539">
          <cell r="A539">
            <v>5300</v>
          </cell>
          <cell r="H539">
            <v>5.3</v>
          </cell>
        </row>
        <row r="540">
          <cell r="A540">
            <v>5310</v>
          </cell>
          <cell r="H540">
            <v>5.3</v>
          </cell>
        </row>
        <row r="541">
          <cell r="A541">
            <v>5320</v>
          </cell>
          <cell r="H541">
            <v>5.3</v>
          </cell>
        </row>
        <row r="542">
          <cell r="A542">
            <v>5330</v>
          </cell>
          <cell r="H542">
            <v>5.3</v>
          </cell>
        </row>
        <row r="543">
          <cell r="A543">
            <v>5340</v>
          </cell>
          <cell r="H543">
            <v>5.3</v>
          </cell>
        </row>
        <row r="544">
          <cell r="A544">
            <v>5350</v>
          </cell>
          <cell r="H544">
            <v>5.3</v>
          </cell>
        </row>
        <row r="545">
          <cell r="A545">
            <v>5360</v>
          </cell>
          <cell r="H545">
            <v>5.3</v>
          </cell>
        </row>
        <row r="546">
          <cell r="A546">
            <v>5370</v>
          </cell>
          <cell r="H546">
            <v>5.3</v>
          </cell>
        </row>
        <row r="547">
          <cell r="A547">
            <v>5380</v>
          </cell>
          <cell r="H547">
            <v>5.3</v>
          </cell>
        </row>
        <row r="548">
          <cell r="A548">
            <v>5390</v>
          </cell>
          <cell r="H548">
            <v>5.3</v>
          </cell>
        </row>
        <row r="549">
          <cell r="A549">
            <v>5400</v>
          </cell>
          <cell r="H549">
            <v>5.3</v>
          </cell>
        </row>
        <row r="550">
          <cell r="A550">
            <v>5410</v>
          </cell>
          <cell r="H550">
            <v>5.3</v>
          </cell>
        </row>
        <row r="551">
          <cell r="A551">
            <v>5420</v>
          </cell>
          <cell r="H551">
            <v>5.3</v>
          </cell>
        </row>
        <row r="552">
          <cell r="A552">
            <v>5430</v>
          </cell>
          <cell r="H552">
            <v>5.3</v>
          </cell>
        </row>
        <row r="553">
          <cell r="A553">
            <v>5440</v>
          </cell>
          <cell r="H553">
            <v>5.3</v>
          </cell>
        </row>
        <row r="554">
          <cell r="A554">
            <v>5450</v>
          </cell>
          <cell r="H554">
            <v>5.3</v>
          </cell>
        </row>
        <row r="555">
          <cell r="A555">
            <v>5460</v>
          </cell>
          <cell r="H555">
            <v>5.3</v>
          </cell>
        </row>
        <row r="556">
          <cell r="A556">
            <v>5470</v>
          </cell>
          <cell r="H556">
            <v>5.3</v>
          </cell>
        </row>
        <row r="557">
          <cell r="A557">
            <v>5480</v>
          </cell>
          <cell r="H557">
            <v>5.3</v>
          </cell>
        </row>
        <row r="558">
          <cell r="A558">
            <v>5490</v>
          </cell>
          <cell r="H558">
            <v>5.3</v>
          </cell>
        </row>
        <row r="559">
          <cell r="A559">
            <v>5500</v>
          </cell>
          <cell r="E559">
            <v>5</v>
          </cell>
          <cell r="H559">
            <v>5.3</v>
          </cell>
        </row>
        <row r="560">
          <cell r="A560">
            <v>5510</v>
          </cell>
          <cell r="H560">
            <v>5.3</v>
          </cell>
        </row>
        <row r="561">
          <cell r="A561">
            <v>5520</v>
          </cell>
          <cell r="H561">
            <v>5.3</v>
          </cell>
        </row>
        <row r="562">
          <cell r="A562">
            <v>5530</v>
          </cell>
          <cell r="H562">
            <v>5.3</v>
          </cell>
        </row>
        <row r="563">
          <cell r="A563">
            <v>5540</v>
          </cell>
          <cell r="H563">
            <v>5.3</v>
          </cell>
        </row>
        <row r="564">
          <cell r="A564">
            <v>5550</v>
          </cell>
          <cell r="H564">
            <v>5.3</v>
          </cell>
        </row>
        <row r="565">
          <cell r="A565">
            <v>5560</v>
          </cell>
          <cell r="H565">
            <v>5.3</v>
          </cell>
        </row>
        <row r="566">
          <cell r="A566">
            <v>5570</v>
          </cell>
          <cell r="H566">
            <v>5.3</v>
          </cell>
        </row>
        <row r="567">
          <cell r="A567">
            <v>5580</v>
          </cell>
          <cell r="H567">
            <v>5.3</v>
          </cell>
        </row>
        <row r="568">
          <cell r="A568">
            <v>5590</v>
          </cell>
          <cell r="H568">
            <v>5.3</v>
          </cell>
        </row>
        <row r="569">
          <cell r="A569">
            <v>5600</v>
          </cell>
          <cell r="C569">
            <v>5</v>
          </cell>
          <cell r="H569">
            <v>5.3</v>
          </cell>
        </row>
        <row r="570">
          <cell r="A570">
            <v>5610</v>
          </cell>
          <cell r="H570">
            <v>5.3</v>
          </cell>
        </row>
        <row r="571">
          <cell r="A571">
            <v>5620</v>
          </cell>
          <cell r="H571">
            <v>5.3</v>
          </cell>
        </row>
        <row r="572">
          <cell r="A572">
            <v>5630</v>
          </cell>
          <cell r="H572">
            <v>5.3</v>
          </cell>
        </row>
        <row r="573">
          <cell r="A573">
            <v>5640</v>
          </cell>
          <cell r="H573">
            <v>5.3</v>
          </cell>
        </row>
        <row r="574">
          <cell r="A574">
            <v>5650</v>
          </cell>
          <cell r="H574">
            <v>5.3</v>
          </cell>
        </row>
        <row r="575">
          <cell r="A575">
            <v>5660</v>
          </cell>
          <cell r="H575">
            <v>5.3</v>
          </cell>
        </row>
        <row r="576">
          <cell r="A576">
            <v>5670</v>
          </cell>
          <cell r="H576">
            <v>5.3</v>
          </cell>
        </row>
        <row r="577">
          <cell r="A577">
            <v>5680</v>
          </cell>
          <cell r="H577">
            <v>5.3</v>
          </cell>
        </row>
        <row r="578">
          <cell r="A578">
            <v>5690</v>
          </cell>
          <cell r="H578">
            <v>5.3</v>
          </cell>
        </row>
        <row r="579">
          <cell r="A579">
            <v>5700</v>
          </cell>
          <cell r="H579">
            <v>5.3</v>
          </cell>
        </row>
        <row r="580">
          <cell r="A580">
            <v>5710</v>
          </cell>
          <cell r="H580">
            <v>5.3</v>
          </cell>
        </row>
        <row r="581">
          <cell r="A581">
            <v>5720</v>
          </cell>
          <cell r="H581">
            <v>5.3</v>
          </cell>
        </row>
        <row r="582">
          <cell r="A582">
            <v>5730</v>
          </cell>
          <cell r="H582">
            <v>5.3</v>
          </cell>
        </row>
        <row r="583">
          <cell r="A583">
            <v>5740</v>
          </cell>
          <cell r="H583">
            <v>5.3</v>
          </cell>
        </row>
        <row r="584">
          <cell r="A584">
            <v>5750</v>
          </cell>
          <cell r="H584">
            <v>5.3</v>
          </cell>
        </row>
        <row r="585">
          <cell r="A585">
            <v>5760</v>
          </cell>
          <cell r="H585">
            <v>5.3</v>
          </cell>
        </row>
        <row r="586">
          <cell r="A586">
            <v>5770</v>
          </cell>
          <cell r="H586">
            <v>5.3</v>
          </cell>
        </row>
        <row r="587">
          <cell r="A587">
            <v>5780</v>
          </cell>
          <cell r="H587">
            <v>5.3</v>
          </cell>
        </row>
        <row r="588">
          <cell r="A588">
            <v>5790</v>
          </cell>
          <cell r="H588">
            <v>5.3</v>
          </cell>
        </row>
        <row r="589">
          <cell r="A589">
            <v>5800</v>
          </cell>
          <cell r="H589">
            <v>5.3</v>
          </cell>
        </row>
        <row r="590">
          <cell r="A590">
            <v>5810</v>
          </cell>
          <cell r="H590">
            <v>5.3</v>
          </cell>
        </row>
        <row r="591">
          <cell r="A591">
            <v>5820</v>
          </cell>
          <cell r="H591">
            <v>5.3</v>
          </cell>
        </row>
        <row r="592">
          <cell r="A592">
            <v>5830</v>
          </cell>
          <cell r="H592">
            <v>5.3</v>
          </cell>
        </row>
        <row r="593">
          <cell r="A593">
            <v>5840</v>
          </cell>
          <cell r="H593">
            <v>5.3</v>
          </cell>
        </row>
        <row r="594">
          <cell r="A594">
            <v>5850</v>
          </cell>
          <cell r="H594">
            <v>5.3</v>
          </cell>
        </row>
        <row r="595">
          <cell r="A595">
            <v>5860</v>
          </cell>
          <cell r="H595">
            <v>5.3</v>
          </cell>
        </row>
        <row r="596">
          <cell r="A596">
            <v>5870</v>
          </cell>
          <cell r="H596">
            <v>5.3</v>
          </cell>
        </row>
        <row r="597">
          <cell r="A597">
            <v>5880</v>
          </cell>
          <cell r="H597">
            <v>5.3</v>
          </cell>
        </row>
        <row r="598">
          <cell r="A598">
            <v>5890</v>
          </cell>
          <cell r="G598">
            <v>5.5</v>
          </cell>
          <cell r="H598">
            <v>5.3</v>
          </cell>
        </row>
        <row r="599">
          <cell r="A599">
            <v>5900</v>
          </cell>
          <cell r="H599">
            <v>5.3</v>
          </cell>
        </row>
        <row r="600">
          <cell r="A600">
            <v>5910</v>
          </cell>
          <cell r="H600">
            <v>5.3</v>
          </cell>
        </row>
        <row r="601">
          <cell r="A601">
            <v>5920</v>
          </cell>
          <cell r="H601">
            <v>5.3</v>
          </cell>
        </row>
        <row r="602">
          <cell r="A602">
            <v>5930</v>
          </cell>
          <cell r="H602">
            <v>5.3</v>
          </cell>
        </row>
        <row r="603">
          <cell r="A603">
            <v>5940</v>
          </cell>
          <cell r="H603">
            <v>5.3</v>
          </cell>
        </row>
        <row r="604">
          <cell r="A604">
            <v>5950</v>
          </cell>
          <cell r="H604">
            <v>5.3</v>
          </cell>
        </row>
        <row r="605">
          <cell r="A605">
            <v>5960</v>
          </cell>
          <cell r="H605">
            <v>5.3</v>
          </cell>
        </row>
        <row r="606">
          <cell r="A606">
            <v>5970</v>
          </cell>
          <cell r="H606">
            <v>5.3</v>
          </cell>
        </row>
        <row r="607">
          <cell r="A607">
            <v>5980</v>
          </cell>
          <cell r="H607">
            <v>5.3</v>
          </cell>
        </row>
        <row r="608">
          <cell r="A608">
            <v>5990</v>
          </cell>
          <cell r="H608">
            <v>5.3</v>
          </cell>
        </row>
        <row r="609">
          <cell r="A609">
            <v>6000</v>
          </cell>
          <cell r="B609">
            <v>5</v>
          </cell>
          <cell r="H609">
            <v>5.3</v>
          </cell>
        </row>
        <row r="610">
          <cell r="A610">
            <v>6010</v>
          </cell>
          <cell r="H610">
            <v>5.3</v>
          </cell>
        </row>
        <row r="611">
          <cell r="A611">
            <v>6020</v>
          </cell>
          <cell r="H611">
            <v>5.3</v>
          </cell>
        </row>
        <row r="612">
          <cell r="A612">
            <v>6030</v>
          </cell>
          <cell r="H612">
            <v>5.3</v>
          </cell>
        </row>
        <row r="613">
          <cell r="A613">
            <v>6040</v>
          </cell>
          <cell r="H613">
            <v>5.3</v>
          </cell>
        </row>
        <row r="614">
          <cell r="A614">
            <v>6050</v>
          </cell>
          <cell r="H614">
            <v>5.3</v>
          </cell>
        </row>
        <row r="615">
          <cell r="A615">
            <v>6060</v>
          </cell>
          <cell r="H615">
            <v>5.3</v>
          </cell>
        </row>
        <row r="616">
          <cell r="A616">
            <v>6070</v>
          </cell>
          <cell r="H616">
            <v>5.3</v>
          </cell>
        </row>
        <row r="617">
          <cell r="A617">
            <v>6080</v>
          </cell>
          <cell r="H617">
            <v>5.3</v>
          </cell>
        </row>
        <row r="618">
          <cell r="A618">
            <v>6090</v>
          </cell>
          <cell r="H618">
            <v>5.3</v>
          </cell>
        </row>
        <row r="619">
          <cell r="A619">
            <v>6100</v>
          </cell>
          <cell r="H619">
            <v>5.3</v>
          </cell>
        </row>
        <row r="620">
          <cell r="A620">
            <v>6110</v>
          </cell>
          <cell r="H620">
            <v>5.3</v>
          </cell>
        </row>
        <row r="621">
          <cell r="A621">
            <v>6120</v>
          </cell>
          <cell r="H621">
            <v>5.3</v>
          </cell>
        </row>
        <row r="622">
          <cell r="A622">
            <v>6130</v>
          </cell>
          <cell r="H622">
            <v>5.3</v>
          </cell>
        </row>
        <row r="623">
          <cell r="A623">
            <v>6140</v>
          </cell>
          <cell r="H623">
            <v>5.3</v>
          </cell>
        </row>
        <row r="624">
          <cell r="A624">
            <v>6150</v>
          </cell>
          <cell r="H624">
            <v>5.3</v>
          </cell>
        </row>
        <row r="625">
          <cell r="A625">
            <v>6160</v>
          </cell>
          <cell r="H625">
            <v>5.3</v>
          </cell>
        </row>
        <row r="626">
          <cell r="A626">
            <v>6170</v>
          </cell>
          <cell r="H626">
            <v>5.3</v>
          </cell>
        </row>
        <row r="627">
          <cell r="A627">
            <v>6180</v>
          </cell>
          <cell r="H627">
            <v>5.3</v>
          </cell>
        </row>
        <row r="628">
          <cell r="A628">
            <v>6190</v>
          </cell>
          <cell r="H628">
            <v>5.3</v>
          </cell>
        </row>
        <row r="629">
          <cell r="A629">
            <v>6200</v>
          </cell>
          <cell r="H629">
            <v>5.3</v>
          </cell>
        </row>
        <row r="630">
          <cell r="A630">
            <v>6210</v>
          </cell>
          <cell r="H630">
            <v>5.3</v>
          </cell>
        </row>
        <row r="631">
          <cell r="A631">
            <v>6220</v>
          </cell>
          <cell r="H631">
            <v>5.3</v>
          </cell>
        </row>
        <row r="632">
          <cell r="A632">
            <v>6230</v>
          </cell>
          <cell r="H632">
            <v>5.3</v>
          </cell>
        </row>
        <row r="633">
          <cell r="A633">
            <v>6240</v>
          </cell>
          <cell r="H633">
            <v>5.3</v>
          </cell>
        </row>
        <row r="634">
          <cell r="A634">
            <v>6250</v>
          </cell>
          <cell r="H634">
            <v>5.3</v>
          </cell>
        </row>
        <row r="635">
          <cell r="A635">
            <v>6260</v>
          </cell>
          <cell r="H635">
            <v>5.3</v>
          </cell>
        </row>
        <row r="636">
          <cell r="A636">
            <v>6270</v>
          </cell>
          <cell r="H636">
            <v>5.3</v>
          </cell>
        </row>
        <row r="637">
          <cell r="A637">
            <v>6280</v>
          </cell>
          <cell r="H637">
            <v>5.3</v>
          </cell>
        </row>
        <row r="638">
          <cell r="A638">
            <v>6290</v>
          </cell>
          <cell r="H638">
            <v>5.3</v>
          </cell>
        </row>
        <row r="639">
          <cell r="A639">
            <v>6300</v>
          </cell>
          <cell r="H639">
            <v>5.3</v>
          </cell>
        </row>
        <row r="640">
          <cell r="A640">
            <v>6310</v>
          </cell>
          <cell r="E640">
            <v>5.3</v>
          </cell>
          <cell r="H640">
            <v>5.3</v>
          </cell>
        </row>
        <row r="641">
          <cell r="A641">
            <v>6320</v>
          </cell>
          <cell r="H641">
            <v>5.3</v>
          </cell>
        </row>
        <row r="642">
          <cell r="A642">
            <v>6330</v>
          </cell>
          <cell r="H642">
            <v>5.3</v>
          </cell>
        </row>
        <row r="643">
          <cell r="A643">
            <v>6340</v>
          </cell>
          <cell r="H643">
            <v>5.3</v>
          </cell>
        </row>
        <row r="644">
          <cell r="A644">
            <v>6350</v>
          </cell>
          <cell r="H644">
            <v>5.3</v>
          </cell>
        </row>
        <row r="645">
          <cell r="A645">
            <v>6360</v>
          </cell>
          <cell r="H645">
            <v>5.3</v>
          </cell>
        </row>
        <row r="646">
          <cell r="A646">
            <v>6370</v>
          </cell>
          <cell r="H646">
            <v>5.3</v>
          </cell>
        </row>
        <row r="647">
          <cell r="A647">
            <v>6380</v>
          </cell>
          <cell r="H647">
            <v>5.3</v>
          </cell>
        </row>
        <row r="648">
          <cell r="A648">
            <v>6390</v>
          </cell>
          <cell r="H648">
            <v>5.3</v>
          </cell>
        </row>
        <row r="649">
          <cell r="A649">
            <v>6400</v>
          </cell>
          <cell r="B649">
            <v>5</v>
          </cell>
          <cell r="H649">
            <v>5.3</v>
          </cell>
        </row>
        <row r="650">
          <cell r="A650">
            <v>6410</v>
          </cell>
          <cell r="H650">
            <v>5.3</v>
          </cell>
        </row>
        <row r="651">
          <cell r="A651">
            <v>6420</v>
          </cell>
          <cell r="H651">
            <v>5.3</v>
          </cell>
        </row>
        <row r="652">
          <cell r="A652">
            <v>6430</v>
          </cell>
          <cell r="H652">
            <v>5.3</v>
          </cell>
        </row>
        <row r="653">
          <cell r="A653">
            <v>6440</v>
          </cell>
          <cell r="H653">
            <v>5.3</v>
          </cell>
        </row>
        <row r="654">
          <cell r="A654">
            <v>6450</v>
          </cell>
          <cell r="H654">
            <v>5.3</v>
          </cell>
        </row>
        <row r="655">
          <cell r="A655">
            <v>6460</v>
          </cell>
          <cell r="H655">
            <v>5.3</v>
          </cell>
        </row>
        <row r="656">
          <cell r="A656">
            <v>6470</v>
          </cell>
          <cell r="H656">
            <v>5.3</v>
          </cell>
        </row>
        <row r="657">
          <cell r="A657">
            <v>6480</v>
          </cell>
          <cell r="H657">
            <v>5.3</v>
          </cell>
        </row>
        <row r="658">
          <cell r="A658">
            <v>6490</v>
          </cell>
          <cell r="H658">
            <v>5.3</v>
          </cell>
        </row>
        <row r="659">
          <cell r="A659">
            <v>6500</v>
          </cell>
          <cell r="H659">
            <v>5.3</v>
          </cell>
        </row>
        <row r="660">
          <cell r="A660">
            <v>6510</v>
          </cell>
          <cell r="H660">
            <v>5.3</v>
          </cell>
        </row>
        <row r="661">
          <cell r="A661">
            <v>6520</v>
          </cell>
          <cell r="H661">
            <v>5.3</v>
          </cell>
        </row>
        <row r="662">
          <cell r="A662">
            <v>6530</v>
          </cell>
          <cell r="H662">
            <v>5.3</v>
          </cell>
        </row>
        <row r="663">
          <cell r="A663">
            <v>6540</v>
          </cell>
          <cell r="H663">
            <v>5.3</v>
          </cell>
        </row>
        <row r="664">
          <cell r="A664">
            <v>6550</v>
          </cell>
          <cell r="H664">
            <v>5.3</v>
          </cell>
        </row>
        <row r="665">
          <cell r="A665">
            <v>6560</v>
          </cell>
          <cell r="H665">
            <v>5.3</v>
          </cell>
        </row>
        <row r="666">
          <cell r="A666">
            <v>6570</v>
          </cell>
          <cell r="H666">
            <v>5.3</v>
          </cell>
        </row>
        <row r="667">
          <cell r="A667">
            <v>6580</v>
          </cell>
          <cell r="H667">
            <v>5.3</v>
          </cell>
        </row>
        <row r="668">
          <cell r="A668">
            <v>6590</v>
          </cell>
          <cell r="H668">
            <v>5.3</v>
          </cell>
        </row>
        <row r="669">
          <cell r="A669">
            <v>6600</v>
          </cell>
          <cell r="H669">
            <v>5.3</v>
          </cell>
        </row>
        <row r="670">
          <cell r="A670">
            <v>6610</v>
          </cell>
          <cell r="H670">
            <v>5.3</v>
          </cell>
        </row>
        <row r="671">
          <cell r="A671">
            <v>6620</v>
          </cell>
          <cell r="H671">
            <v>5.3</v>
          </cell>
        </row>
        <row r="672">
          <cell r="A672">
            <v>6630</v>
          </cell>
          <cell r="H672">
            <v>5.3</v>
          </cell>
        </row>
        <row r="673">
          <cell r="A673">
            <v>6640</v>
          </cell>
          <cell r="H673">
            <v>5.3</v>
          </cell>
        </row>
        <row r="674">
          <cell r="A674">
            <v>6650</v>
          </cell>
          <cell r="H674">
            <v>5.3</v>
          </cell>
        </row>
        <row r="675">
          <cell r="A675">
            <v>6660</v>
          </cell>
          <cell r="H675">
            <v>5.3</v>
          </cell>
        </row>
        <row r="676">
          <cell r="A676">
            <v>6670</v>
          </cell>
          <cell r="H676">
            <v>5.3</v>
          </cell>
        </row>
        <row r="677">
          <cell r="A677">
            <v>6680</v>
          </cell>
          <cell r="H677">
            <v>5.3</v>
          </cell>
        </row>
        <row r="678">
          <cell r="A678">
            <v>6690</v>
          </cell>
          <cell r="H678">
            <v>5.3</v>
          </cell>
        </row>
        <row r="679">
          <cell r="A679">
            <v>6700</v>
          </cell>
          <cell r="G679">
            <v>6.5</v>
          </cell>
          <cell r="H679">
            <v>5.3</v>
          </cell>
        </row>
        <row r="680">
          <cell r="A680">
            <v>6710</v>
          </cell>
          <cell r="H680">
            <v>5.3</v>
          </cell>
        </row>
        <row r="681">
          <cell r="A681">
            <v>6720</v>
          </cell>
          <cell r="H681">
            <v>5.3</v>
          </cell>
        </row>
        <row r="682">
          <cell r="A682">
            <v>6730</v>
          </cell>
          <cell r="H682">
            <v>5.3</v>
          </cell>
        </row>
        <row r="683">
          <cell r="A683">
            <v>6740</v>
          </cell>
          <cell r="H683">
            <v>5.3</v>
          </cell>
        </row>
        <row r="684">
          <cell r="A684">
            <v>6750</v>
          </cell>
          <cell r="H684">
            <v>5.3</v>
          </cell>
        </row>
        <row r="685">
          <cell r="A685">
            <v>6760</v>
          </cell>
          <cell r="H685">
            <v>5.3</v>
          </cell>
        </row>
        <row r="686">
          <cell r="A686">
            <v>6770</v>
          </cell>
          <cell r="H686">
            <v>5.3</v>
          </cell>
        </row>
        <row r="687">
          <cell r="A687">
            <v>6780</v>
          </cell>
          <cell r="H687">
            <v>5.3</v>
          </cell>
        </row>
        <row r="688">
          <cell r="A688">
            <v>6790</v>
          </cell>
          <cell r="H688">
            <v>5.3</v>
          </cell>
        </row>
        <row r="689">
          <cell r="A689">
            <v>6800</v>
          </cell>
          <cell r="B689">
            <v>5</v>
          </cell>
          <cell r="H689">
            <v>5.3</v>
          </cell>
        </row>
        <row r="690">
          <cell r="A690">
            <v>6810</v>
          </cell>
          <cell r="H690">
            <v>5.3</v>
          </cell>
        </row>
        <row r="691">
          <cell r="A691">
            <v>6820</v>
          </cell>
          <cell r="H691">
            <v>5.3</v>
          </cell>
        </row>
        <row r="692">
          <cell r="A692">
            <v>6830</v>
          </cell>
          <cell r="H692">
            <v>5.3</v>
          </cell>
        </row>
        <row r="693">
          <cell r="A693">
            <v>6840</v>
          </cell>
          <cell r="H693">
            <v>5.3</v>
          </cell>
        </row>
        <row r="694">
          <cell r="A694">
            <v>6850</v>
          </cell>
          <cell r="H694">
            <v>5.3</v>
          </cell>
        </row>
        <row r="695">
          <cell r="A695">
            <v>6860</v>
          </cell>
          <cell r="H695">
            <v>5.3</v>
          </cell>
        </row>
        <row r="696">
          <cell r="A696">
            <v>6870</v>
          </cell>
          <cell r="H696">
            <v>5.3</v>
          </cell>
        </row>
        <row r="697">
          <cell r="A697">
            <v>6880</v>
          </cell>
          <cell r="H697">
            <v>5.3</v>
          </cell>
        </row>
        <row r="698">
          <cell r="A698">
            <v>6890</v>
          </cell>
          <cell r="H698">
            <v>5.3</v>
          </cell>
        </row>
        <row r="699">
          <cell r="A699">
            <v>6900</v>
          </cell>
          <cell r="H699">
            <v>5.3</v>
          </cell>
        </row>
        <row r="700">
          <cell r="A700">
            <v>6910</v>
          </cell>
          <cell r="H700">
            <v>5.3</v>
          </cell>
        </row>
        <row r="701">
          <cell r="A701">
            <v>6920</v>
          </cell>
          <cell r="H701">
            <v>5.3</v>
          </cell>
        </row>
        <row r="702">
          <cell r="A702">
            <v>6930</v>
          </cell>
          <cell r="H702">
            <v>5.3</v>
          </cell>
        </row>
        <row r="703">
          <cell r="A703">
            <v>6940</v>
          </cell>
          <cell r="H703">
            <v>5.3</v>
          </cell>
        </row>
        <row r="704">
          <cell r="A704">
            <v>6950</v>
          </cell>
          <cell r="H704">
            <v>5.3</v>
          </cell>
        </row>
        <row r="705">
          <cell r="A705">
            <v>6960</v>
          </cell>
          <cell r="H705">
            <v>5.3</v>
          </cell>
        </row>
        <row r="706">
          <cell r="A706">
            <v>6970</v>
          </cell>
          <cell r="H706">
            <v>5.3</v>
          </cell>
        </row>
        <row r="707">
          <cell r="A707">
            <v>6980</v>
          </cell>
          <cell r="H707">
            <v>5.3</v>
          </cell>
        </row>
        <row r="708">
          <cell r="A708">
            <v>6990</v>
          </cell>
          <cell r="H708">
            <v>5.3</v>
          </cell>
        </row>
        <row r="709">
          <cell r="A709">
            <v>7000</v>
          </cell>
          <cell r="H709">
            <v>5.3</v>
          </cell>
        </row>
        <row r="710">
          <cell r="A710">
            <v>7010</v>
          </cell>
          <cell r="H710">
            <v>5.3</v>
          </cell>
        </row>
        <row r="711">
          <cell r="A711">
            <v>7020</v>
          </cell>
          <cell r="H711">
            <v>5.3</v>
          </cell>
        </row>
        <row r="712">
          <cell r="A712">
            <v>7030</v>
          </cell>
          <cell r="H712">
            <v>5.3</v>
          </cell>
        </row>
        <row r="713">
          <cell r="A713">
            <v>7040</v>
          </cell>
          <cell r="H713">
            <v>5.3</v>
          </cell>
        </row>
        <row r="714">
          <cell r="A714">
            <v>7050</v>
          </cell>
          <cell r="H714">
            <v>5.3</v>
          </cell>
        </row>
        <row r="715">
          <cell r="A715">
            <v>7060</v>
          </cell>
          <cell r="H715">
            <v>5.3</v>
          </cell>
        </row>
        <row r="716">
          <cell r="A716">
            <v>7070</v>
          </cell>
          <cell r="H716">
            <v>5.3</v>
          </cell>
        </row>
        <row r="717">
          <cell r="A717">
            <v>7080</v>
          </cell>
          <cell r="H717">
            <v>5.3</v>
          </cell>
        </row>
        <row r="718">
          <cell r="A718">
            <v>7090</v>
          </cell>
          <cell r="H718">
            <v>5.3</v>
          </cell>
        </row>
        <row r="719">
          <cell r="A719">
            <v>7100</v>
          </cell>
          <cell r="E719">
            <v>6</v>
          </cell>
          <cell r="H719">
            <v>5.3</v>
          </cell>
        </row>
        <row r="720">
          <cell r="A720">
            <v>7110</v>
          </cell>
          <cell r="H720">
            <v>5.3</v>
          </cell>
        </row>
        <row r="721">
          <cell r="A721">
            <v>7120</v>
          </cell>
          <cell r="H721">
            <v>5.3</v>
          </cell>
        </row>
        <row r="722">
          <cell r="A722">
            <v>7130</v>
          </cell>
          <cell r="H722">
            <v>5.3</v>
          </cell>
        </row>
        <row r="723">
          <cell r="A723">
            <v>7140</v>
          </cell>
          <cell r="H723">
            <v>5.3</v>
          </cell>
        </row>
        <row r="724">
          <cell r="A724">
            <v>7150</v>
          </cell>
          <cell r="H724">
            <v>5.3</v>
          </cell>
        </row>
        <row r="725">
          <cell r="A725">
            <v>7160</v>
          </cell>
          <cell r="H725">
            <v>5.3</v>
          </cell>
        </row>
        <row r="726">
          <cell r="A726">
            <v>7170</v>
          </cell>
          <cell r="H726">
            <v>5.3</v>
          </cell>
        </row>
        <row r="727">
          <cell r="A727">
            <v>7180</v>
          </cell>
          <cell r="H727">
            <v>5.3</v>
          </cell>
        </row>
        <row r="728">
          <cell r="A728">
            <v>7190</v>
          </cell>
          <cell r="H728">
            <v>5.3</v>
          </cell>
        </row>
        <row r="729">
          <cell r="A729">
            <v>7200</v>
          </cell>
          <cell r="D729">
            <v>5</v>
          </cell>
          <cell r="H729">
            <v>5.3</v>
          </cell>
        </row>
        <row r="730">
          <cell r="A730">
            <v>7210</v>
          </cell>
          <cell r="H730">
            <v>5.3</v>
          </cell>
        </row>
        <row r="731">
          <cell r="A731">
            <v>7220</v>
          </cell>
          <cell r="H731">
            <v>5.3</v>
          </cell>
        </row>
        <row r="732">
          <cell r="A732">
            <v>7230</v>
          </cell>
          <cell r="H732">
            <v>5.3</v>
          </cell>
        </row>
        <row r="733">
          <cell r="A733">
            <v>7240</v>
          </cell>
          <cell r="H733">
            <v>5.3</v>
          </cell>
        </row>
        <row r="734">
          <cell r="A734">
            <v>7250</v>
          </cell>
          <cell r="H734">
            <v>5.3</v>
          </cell>
        </row>
        <row r="735">
          <cell r="A735">
            <v>7260</v>
          </cell>
          <cell r="H735">
            <v>5.3</v>
          </cell>
        </row>
        <row r="736">
          <cell r="A736">
            <v>7270</v>
          </cell>
          <cell r="H736">
            <v>5.3</v>
          </cell>
        </row>
        <row r="737">
          <cell r="A737">
            <v>7280</v>
          </cell>
          <cell r="H737">
            <v>5.3</v>
          </cell>
        </row>
        <row r="738">
          <cell r="A738">
            <v>7290</v>
          </cell>
          <cell r="H738">
            <v>5.3</v>
          </cell>
        </row>
        <row r="739">
          <cell r="A739">
            <v>7300</v>
          </cell>
          <cell r="H739">
            <v>5.3</v>
          </cell>
        </row>
        <row r="740">
          <cell r="A740">
            <v>7310</v>
          </cell>
          <cell r="H740">
            <v>5.3</v>
          </cell>
        </row>
        <row r="741">
          <cell r="A741">
            <v>7320</v>
          </cell>
          <cell r="H741">
            <v>5.3</v>
          </cell>
        </row>
        <row r="742">
          <cell r="A742">
            <v>7330</v>
          </cell>
          <cell r="H742">
            <v>5.3</v>
          </cell>
        </row>
        <row r="743">
          <cell r="A743">
            <v>7340</v>
          </cell>
          <cell r="H743">
            <v>5.3</v>
          </cell>
        </row>
        <row r="744">
          <cell r="A744">
            <v>7350</v>
          </cell>
          <cell r="H744">
            <v>5.3</v>
          </cell>
        </row>
        <row r="745">
          <cell r="A745">
            <v>7360</v>
          </cell>
          <cell r="H745">
            <v>5.3</v>
          </cell>
        </row>
        <row r="746">
          <cell r="A746">
            <v>7370</v>
          </cell>
          <cell r="H746">
            <v>5.3</v>
          </cell>
        </row>
        <row r="747">
          <cell r="A747">
            <v>7380</v>
          </cell>
          <cell r="H747">
            <v>5.3</v>
          </cell>
        </row>
        <row r="748">
          <cell r="A748">
            <v>7390</v>
          </cell>
          <cell r="H748">
            <v>5.3</v>
          </cell>
        </row>
        <row r="749">
          <cell r="A749">
            <v>7400</v>
          </cell>
          <cell r="H749">
            <v>5.3</v>
          </cell>
        </row>
        <row r="750">
          <cell r="A750">
            <v>7410</v>
          </cell>
          <cell r="H750">
            <v>5.3</v>
          </cell>
        </row>
        <row r="751">
          <cell r="A751">
            <v>7420</v>
          </cell>
          <cell r="H751">
            <v>5.3</v>
          </cell>
        </row>
        <row r="752">
          <cell r="A752">
            <v>7430</v>
          </cell>
          <cell r="H752">
            <v>5.3</v>
          </cell>
        </row>
        <row r="753">
          <cell r="A753">
            <v>7440</v>
          </cell>
          <cell r="H753">
            <v>5.3</v>
          </cell>
        </row>
        <row r="754">
          <cell r="A754">
            <v>7450</v>
          </cell>
          <cell r="H754">
            <v>5.3</v>
          </cell>
        </row>
        <row r="755">
          <cell r="A755">
            <v>7460</v>
          </cell>
          <cell r="H755">
            <v>5.3</v>
          </cell>
        </row>
        <row r="756">
          <cell r="A756">
            <v>7470</v>
          </cell>
          <cell r="H756">
            <v>5.3</v>
          </cell>
        </row>
        <row r="757">
          <cell r="A757">
            <v>7480</v>
          </cell>
          <cell r="H757">
            <v>5.3</v>
          </cell>
        </row>
        <row r="758">
          <cell r="A758">
            <v>7490</v>
          </cell>
          <cell r="H758">
            <v>5.3</v>
          </cell>
        </row>
        <row r="759">
          <cell r="A759">
            <v>7500</v>
          </cell>
          <cell r="E759">
            <v>6.5</v>
          </cell>
          <cell r="H759">
            <v>5.3</v>
          </cell>
        </row>
        <row r="760">
          <cell r="A760">
            <v>7510</v>
          </cell>
          <cell r="H760">
            <v>5.3</v>
          </cell>
        </row>
        <row r="761">
          <cell r="A761">
            <v>7520</v>
          </cell>
          <cell r="H761">
            <v>5.3</v>
          </cell>
        </row>
        <row r="762">
          <cell r="A762">
            <v>7530</v>
          </cell>
          <cell r="H762">
            <v>5.3</v>
          </cell>
        </row>
        <row r="763">
          <cell r="A763">
            <v>7540</v>
          </cell>
          <cell r="H763">
            <v>5.3</v>
          </cell>
        </row>
        <row r="764">
          <cell r="A764">
            <v>7550</v>
          </cell>
          <cell r="H764">
            <v>5.3</v>
          </cell>
        </row>
        <row r="765">
          <cell r="A765">
            <v>7560</v>
          </cell>
          <cell r="H765">
            <v>5.3</v>
          </cell>
        </row>
        <row r="766">
          <cell r="A766">
            <v>7570</v>
          </cell>
          <cell r="H766">
            <v>5.3</v>
          </cell>
        </row>
        <row r="767">
          <cell r="A767">
            <v>7580</v>
          </cell>
          <cell r="H767">
            <v>5.3</v>
          </cell>
        </row>
        <row r="768">
          <cell r="A768">
            <v>7590</v>
          </cell>
          <cell r="H768">
            <v>5.3</v>
          </cell>
        </row>
        <row r="769">
          <cell r="A769">
            <v>7600</v>
          </cell>
          <cell r="D769">
            <v>5.4</v>
          </cell>
          <cell r="H769">
            <v>5.3</v>
          </cell>
        </row>
        <row r="770">
          <cell r="A770">
            <v>7610</v>
          </cell>
          <cell r="H770">
            <v>5.3</v>
          </cell>
        </row>
        <row r="771">
          <cell r="A771">
            <v>7620</v>
          </cell>
          <cell r="H771">
            <v>5.3</v>
          </cell>
        </row>
        <row r="772">
          <cell r="A772">
            <v>7630</v>
          </cell>
          <cell r="H772">
            <v>5.3</v>
          </cell>
        </row>
        <row r="773">
          <cell r="A773">
            <v>7640</v>
          </cell>
          <cell r="H773">
            <v>5.3</v>
          </cell>
        </row>
        <row r="774">
          <cell r="A774">
            <v>7650</v>
          </cell>
          <cell r="H774">
            <v>5.3</v>
          </cell>
        </row>
        <row r="775">
          <cell r="A775">
            <v>7660</v>
          </cell>
          <cell r="H775">
            <v>5.3</v>
          </cell>
        </row>
        <row r="776">
          <cell r="A776">
            <v>7670</v>
          </cell>
          <cell r="H776">
            <v>5.3</v>
          </cell>
        </row>
        <row r="777">
          <cell r="A777">
            <v>7680</v>
          </cell>
          <cell r="H777">
            <v>5.3</v>
          </cell>
        </row>
        <row r="778">
          <cell r="A778">
            <v>7690</v>
          </cell>
          <cell r="H778">
            <v>5.3</v>
          </cell>
        </row>
        <row r="779">
          <cell r="A779">
            <v>7700</v>
          </cell>
          <cell r="H779">
            <v>5.3</v>
          </cell>
        </row>
        <row r="780">
          <cell r="A780">
            <v>7710</v>
          </cell>
          <cell r="H780">
            <v>5.3</v>
          </cell>
        </row>
        <row r="781">
          <cell r="A781">
            <v>7720</v>
          </cell>
          <cell r="H781">
            <v>5.3</v>
          </cell>
        </row>
        <row r="782">
          <cell r="A782">
            <v>7730</v>
          </cell>
          <cell r="H782">
            <v>5.3</v>
          </cell>
        </row>
        <row r="783">
          <cell r="A783">
            <v>7740</v>
          </cell>
          <cell r="H783">
            <v>5.3</v>
          </cell>
        </row>
        <row r="784">
          <cell r="A784">
            <v>7750</v>
          </cell>
          <cell r="H784">
            <v>5.3</v>
          </cell>
        </row>
        <row r="785">
          <cell r="A785">
            <v>7760</v>
          </cell>
          <cell r="H785">
            <v>5.3</v>
          </cell>
        </row>
        <row r="786">
          <cell r="A786">
            <v>7770</v>
          </cell>
          <cell r="H786">
            <v>5.3</v>
          </cell>
        </row>
        <row r="787">
          <cell r="A787">
            <v>7780</v>
          </cell>
          <cell r="H787">
            <v>5.3</v>
          </cell>
        </row>
        <row r="788">
          <cell r="A788">
            <v>7790</v>
          </cell>
          <cell r="H788">
            <v>5.3</v>
          </cell>
        </row>
        <row r="789">
          <cell r="A789">
            <v>7800</v>
          </cell>
          <cell r="H789">
            <v>5.3</v>
          </cell>
        </row>
        <row r="790">
          <cell r="A790">
            <v>7810</v>
          </cell>
          <cell r="H790">
            <v>5.3</v>
          </cell>
        </row>
        <row r="791">
          <cell r="A791">
            <v>7820</v>
          </cell>
          <cell r="H791">
            <v>5.3</v>
          </cell>
        </row>
        <row r="792">
          <cell r="A792">
            <v>7830</v>
          </cell>
          <cell r="H792">
            <v>5.3</v>
          </cell>
        </row>
        <row r="793">
          <cell r="A793">
            <v>7840</v>
          </cell>
          <cell r="H793">
            <v>5.3</v>
          </cell>
        </row>
        <row r="794">
          <cell r="A794">
            <v>7850</v>
          </cell>
          <cell r="H794">
            <v>5.3</v>
          </cell>
        </row>
        <row r="795">
          <cell r="A795">
            <v>7860</v>
          </cell>
          <cell r="H795">
            <v>5.3</v>
          </cell>
        </row>
        <row r="796">
          <cell r="A796">
            <v>7870</v>
          </cell>
          <cell r="H796">
            <v>5.3</v>
          </cell>
        </row>
        <row r="797">
          <cell r="A797">
            <v>7880</v>
          </cell>
          <cell r="H797">
            <v>5.3</v>
          </cell>
        </row>
        <row r="798">
          <cell r="A798">
            <v>7890</v>
          </cell>
          <cell r="H798">
            <v>5.3</v>
          </cell>
        </row>
        <row r="799">
          <cell r="A799">
            <v>7900</v>
          </cell>
          <cell r="G799">
            <v>5.5</v>
          </cell>
          <cell r="H799">
            <v>5.3</v>
          </cell>
        </row>
        <row r="800">
          <cell r="A800">
            <v>7910</v>
          </cell>
          <cell r="H800">
            <v>5.3</v>
          </cell>
        </row>
        <row r="801">
          <cell r="A801">
            <v>7920</v>
          </cell>
          <cell r="H801">
            <v>5.3</v>
          </cell>
        </row>
        <row r="802">
          <cell r="A802">
            <v>7930</v>
          </cell>
          <cell r="H802">
            <v>5.3</v>
          </cell>
        </row>
        <row r="803">
          <cell r="A803">
            <v>7940</v>
          </cell>
          <cell r="H803">
            <v>5.3</v>
          </cell>
        </row>
        <row r="804">
          <cell r="A804">
            <v>7950</v>
          </cell>
          <cell r="H804">
            <v>5.3</v>
          </cell>
        </row>
        <row r="805">
          <cell r="A805">
            <v>7960</v>
          </cell>
          <cell r="H805">
            <v>5.3</v>
          </cell>
        </row>
        <row r="806">
          <cell r="A806">
            <v>7970</v>
          </cell>
          <cell r="H806">
            <v>5.3</v>
          </cell>
        </row>
        <row r="807">
          <cell r="A807">
            <v>7980</v>
          </cell>
          <cell r="H807">
            <v>5.3</v>
          </cell>
        </row>
        <row r="808">
          <cell r="A808">
            <v>7990</v>
          </cell>
          <cell r="H808">
            <v>5.3</v>
          </cell>
        </row>
        <row r="809">
          <cell r="A809">
            <v>8000</v>
          </cell>
          <cell r="B809">
            <v>5</v>
          </cell>
          <cell r="H809">
            <v>5.3</v>
          </cell>
        </row>
        <row r="810">
          <cell r="A810">
            <v>8010</v>
          </cell>
          <cell r="H810">
            <v>5.3</v>
          </cell>
        </row>
        <row r="811">
          <cell r="A811">
            <v>8020</v>
          </cell>
          <cell r="H811">
            <v>5.3</v>
          </cell>
        </row>
        <row r="812">
          <cell r="A812">
            <v>8030</v>
          </cell>
          <cell r="H812">
            <v>5.3</v>
          </cell>
        </row>
        <row r="813">
          <cell r="A813">
            <v>8040</v>
          </cell>
          <cell r="H813">
            <v>5.3</v>
          </cell>
        </row>
        <row r="814">
          <cell r="A814">
            <v>8050</v>
          </cell>
          <cell r="H814">
            <v>5.3</v>
          </cell>
        </row>
        <row r="815">
          <cell r="A815">
            <v>8060</v>
          </cell>
          <cell r="H815">
            <v>5.3</v>
          </cell>
        </row>
        <row r="816">
          <cell r="A816">
            <v>8070</v>
          </cell>
          <cell r="H816">
            <v>5.3</v>
          </cell>
        </row>
        <row r="817">
          <cell r="A817">
            <v>8080</v>
          </cell>
          <cell r="H817">
            <v>5.3</v>
          </cell>
        </row>
        <row r="818">
          <cell r="A818">
            <v>8090</v>
          </cell>
          <cell r="H818">
            <v>5.3</v>
          </cell>
        </row>
        <row r="819">
          <cell r="A819">
            <v>8100</v>
          </cell>
          <cell r="H819">
            <v>5.3</v>
          </cell>
        </row>
        <row r="820">
          <cell r="A820">
            <v>8110</v>
          </cell>
          <cell r="H820">
            <v>5.3</v>
          </cell>
        </row>
        <row r="821">
          <cell r="A821">
            <v>8120</v>
          </cell>
          <cell r="H821">
            <v>5.3</v>
          </cell>
        </row>
        <row r="822">
          <cell r="A822">
            <v>8130</v>
          </cell>
          <cell r="H822">
            <v>5.3</v>
          </cell>
        </row>
        <row r="823">
          <cell r="A823">
            <v>8140</v>
          </cell>
          <cell r="H823">
            <v>5.3</v>
          </cell>
        </row>
        <row r="824">
          <cell r="A824">
            <v>8150</v>
          </cell>
          <cell r="H824">
            <v>5.3</v>
          </cell>
        </row>
        <row r="825">
          <cell r="A825">
            <v>8160</v>
          </cell>
          <cell r="H825">
            <v>5.3</v>
          </cell>
        </row>
        <row r="826">
          <cell r="A826">
            <v>8170</v>
          </cell>
          <cell r="H826">
            <v>5.3</v>
          </cell>
        </row>
        <row r="827">
          <cell r="A827">
            <v>8180</v>
          </cell>
          <cell r="H827">
            <v>5.3</v>
          </cell>
        </row>
        <row r="828">
          <cell r="A828">
            <v>8190</v>
          </cell>
          <cell r="H828">
            <v>5.3</v>
          </cell>
        </row>
        <row r="829">
          <cell r="A829">
            <v>8200</v>
          </cell>
          <cell r="H829">
            <v>5.3</v>
          </cell>
        </row>
        <row r="830">
          <cell r="A830">
            <v>8210</v>
          </cell>
          <cell r="H830">
            <v>5.3</v>
          </cell>
        </row>
        <row r="831">
          <cell r="A831">
            <v>8220</v>
          </cell>
          <cell r="H831">
            <v>5.3</v>
          </cell>
        </row>
        <row r="832">
          <cell r="A832">
            <v>8230</v>
          </cell>
          <cell r="H832">
            <v>5.3</v>
          </cell>
        </row>
        <row r="833">
          <cell r="A833">
            <v>8240</v>
          </cell>
          <cell r="H833">
            <v>5.3</v>
          </cell>
        </row>
        <row r="834">
          <cell r="A834">
            <v>8250</v>
          </cell>
          <cell r="H834">
            <v>5.3</v>
          </cell>
        </row>
        <row r="835">
          <cell r="A835">
            <v>8260</v>
          </cell>
          <cell r="H835">
            <v>5.3</v>
          </cell>
        </row>
        <row r="836">
          <cell r="A836">
            <v>8270</v>
          </cell>
          <cell r="H836">
            <v>5.3</v>
          </cell>
        </row>
        <row r="837">
          <cell r="A837">
            <v>8280</v>
          </cell>
          <cell r="H837">
            <v>5.3</v>
          </cell>
        </row>
        <row r="838">
          <cell r="A838">
            <v>8290</v>
          </cell>
          <cell r="H838">
            <v>5.3</v>
          </cell>
        </row>
        <row r="839">
          <cell r="A839">
            <v>8300</v>
          </cell>
          <cell r="E839">
            <v>5.5</v>
          </cell>
          <cell r="H839">
            <v>5.3</v>
          </cell>
        </row>
        <row r="840">
          <cell r="A840">
            <v>8310</v>
          </cell>
          <cell r="H840">
            <v>5.3</v>
          </cell>
        </row>
        <row r="841">
          <cell r="A841">
            <v>8320</v>
          </cell>
          <cell r="H841">
            <v>5.3</v>
          </cell>
        </row>
        <row r="842">
          <cell r="A842">
            <v>8330</v>
          </cell>
          <cell r="H842">
            <v>5.3</v>
          </cell>
        </row>
        <row r="843">
          <cell r="A843">
            <v>8340</v>
          </cell>
          <cell r="H843">
            <v>5.3</v>
          </cell>
        </row>
        <row r="844">
          <cell r="A844">
            <v>8350</v>
          </cell>
          <cell r="H844">
            <v>5.3</v>
          </cell>
        </row>
        <row r="845">
          <cell r="A845">
            <v>8360</v>
          </cell>
          <cell r="H845">
            <v>5.3</v>
          </cell>
        </row>
        <row r="846">
          <cell r="A846">
            <v>8370</v>
          </cell>
          <cell r="H846">
            <v>5.3</v>
          </cell>
        </row>
        <row r="847">
          <cell r="A847">
            <v>8380</v>
          </cell>
          <cell r="H847">
            <v>5.3</v>
          </cell>
        </row>
        <row r="848">
          <cell r="A848">
            <v>8390</v>
          </cell>
          <cell r="H848">
            <v>5.3</v>
          </cell>
        </row>
        <row r="849">
          <cell r="A849">
            <v>8400</v>
          </cell>
          <cell r="D849">
            <v>5</v>
          </cell>
          <cell r="H849">
            <v>5.3</v>
          </cell>
        </row>
        <row r="850">
          <cell r="A850">
            <v>8410</v>
          </cell>
          <cell r="H850">
            <v>5.3</v>
          </cell>
        </row>
        <row r="851">
          <cell r="A851">
            <v>8420</v>
          </cell>
          <cell r="H851">
            <v>5.3</v>
          </cell>
        </row>
        <row r="852">
          <cell r="A852">
            <v>8430</v>
          </cell>
          <cell r="H852">
            <v>5.3</v>
          </cell>
        </row>
        <row r="853">
          <cell r="A853">
            <v>8440</v>
          </cell>
          <cell r="H853">
            <v>5.3</v>
          </cell>
        </row>
        <row r="854">
          <cell r="A854">
            <v>8450</v>
          </cell>
          <cell r="H854">
            <v>5.3</v>
          </cell>
        </row>
        <row r="855">
          <cell r="A855">
            <v>8460</v>
          </cell>
          <cell r="H855">
            <v>5.3</v>
          </cell>
        </row>
        <row r="856">
          <cell r="A856">
            <v>8470</v>
          </cell>
          <cell r="H856">
            <v>5.3</v>
          </cell>
        </row>
        <row r="857">
          <cell r="A857">
            <v>8480</v>
          </cell>
          <cell r="H857">
            <v>5.3</v>
          </cell>
        </row>
        <row r="858">
          <cell r="A858">
            <v>8490</v>
          </cell>
          <cell r="H858">
            <v>5.3</v>
          </cell>
        </row>
        <row r="859">
          <cell r="A859">
            <v>8500</v>
          </cell>
          <cell r="H859">
            <v>5.3</v>
          </cell>
        </row>
        <row r="860">
          <cell r="A860">
            <v>8510</v>
          </cell>
          <cell r="H860">
            <v>5.3</v>
          </cell>
        </row>
        <row r="861">
          <cell r="A861">
            <v>8520</v>
          </cell>
          <cell r="H861">
            <v>5.3</v>
          </cell>
        </row>
        <row r="862">
          <cell r="A862">
            <v>8530</v>
          </cell>
          <cell r="H862">
            <v>5.3</v>
          </cell>
        </row>
        <row r="863">
          <cell r="A863">
            <v>8540</v>
          </cell>
          <cell r="H863">
            <v>5.3</v>
          </cell>
        </row>
        <row r="864">
          <cell r="A864">
            <v>8550</v>
          </cell>
          <cell r="H864">
            <v>5.3</v>
          </cell>
        </row>
        <row r="865">
          <cell r="A865">
            <v>8560</v>
          </cell>
          <cell r="H865">
            <v>5.3</v>
          </cell>
        </row>
        <row r="866">
          <cell r="A866">
            <v>8570</v>
          </cell>
          <cell r="H866">
            <v>5.3</v>
          </cell>
        </row>
        <row r="867">
          <cell r="A867">
            <v>8580</v>
          </cell>
          <cell r="H867">
            <v>5.3</v>
          </cell>
        </row>
        <row r="868">
          <cell r="A868">
            <v>8590</v>
          </cell>
          <cell r="H868">
            <v>5.3</v>
          </cell>
        </row>
        <row r="869">
          <cell r="A869">
            <v>8600</v>
          </cell>
          <cell r="H869">
            <v>5.3</v>
          </cell>
        </row>
        <row r="870">
          <cell r="A870">
            <v>8610</v>
          </cell>
          <cell r="H870">
            <v>5.3</v>
          </cell>
        </row>
        <row r="871">
          <cell r="A871">
            <v>8620</v>
          </cell>
          <cell r="H871">
            <v>5.3</v>
          </cell>
        </row>
        <row r="872">
          <cell r="A872">
            <v>8630</v>
          </cell>
          <cell r="H872">
            <v>5.3</v>
          </cell>
        </row>
        <row r="873">
          <cell r="A873">
            <v>8640</v>
          </cell>
          <cell r="H873">
            <v>5.3</v>
          </cell>
        </row>
        <row r="874">
          <cell r="A874">
            <v>8650</v>
          </cell>
          <cell r="H874">
            <v>5.3</v>
          </cell>
        </row>
        <row r="875">
          <cell r="A875">
            <v>8660</v>
          </cell>
          <cell r="H875">
            <v>5.3</v>
          </cell>
        </row>
        <row r="876">
          <cell r="A876">
            <v>8670</v>
          </cell>
          <cell r="H876">
            <v>5.3</v>
          </cell>
        </row>
        <row r="877">
          <cell r="A877">
            <v>8680</v>
          </cell>
          <cell r="H877">
            <v>5.3</v>
          </cell>
        </row>
        <row r="878">
          <cell r="A878">
            <v>8690</v>
          </cell>
          <cell r="H878">
            <v>5.3</v>
          </cell>
        </row>
        <row r="879">
          <cell r="A879">
            <v>8700</v>
          </cell>
          <cell r="E879">
            <v>5</v>
          </cell>
          <cell r="H879">
            <v>5.3</v>
          </cell>
        </row>
        <row r="880">
          <cell r="A880">
            <v>8710</v>
          </cell>
          <cell r="H880">
            <v>5.3</v>
          </cell>
        </row>
        <row r="881">
          <cell r="A881">
            <v>8720</v>
          </cell>
          <cell r="H881">
            <v>5.3</v>
          </cell>
        </row>
        <row r="882">
          <cell r="A882">
            <v>8730</v>
          </cell>
          <cell r="H882">
            <v>5.3</v>
          </cell>
        </row>
        <row r="883">
          <cell r="A883">
            <v>8740</v>
          </cell>
          <cell r="H883">
            <v>5.3</v>
          </cell>
        </row>
        <row r="884">
          <cell r="A884">
            <v>8750</v>
          </cell>
          <cell r="H884">
            <v>5.3</v>
          </cell>
        </row>
        <row r="885">
          <cell r="A885">
            <v>8760</v>
          </cell>
          <cell r="H885">
            <v>5.3</v>
          </cell>
        </row>
        <row r="886">
          <cell r="A886">
            <v>8770</v>
          </cell>
          <cell r="H886">
            <v>5.3</v>
          </cell>
        </row>
        <row r="887">
          <cell r="A887">
            <v>8780</v>
          </cell>
          <cell r="H887">
            <v>5.3</v>
          </cell>
        </row>
        <row r="888">
          <cell r="A888">
            <v>8790</v>
          </cell>
          <cell r="H888">
            <v>5.3</v>
          </cell>
        </row>
        <row r="889">
          <cell r="A889">
            <v>8800</v>
          </cell>
          <cell r="H889">
            <v>5.3</v>
          </cell>
        </row>
        <row r="890">
          <cell r="A890">
            <v>8810</v>
          </cell>
          <cell r="H890">
            <v>5.3</v>
          </cell>
        </row>
        <row r="891">
          <cell r="A891">
            <v>8820</v>
          </cell>
          <cell r="H891">
            <v>5.3</v>
          </cell>
        </row>
        <row r="892">
          <cell r="A892">
            <v>8830</v>
          </cell>
          <cell r="H892">
            <v>5.3</v>
          </cell>
        </row>
        <row r="893">
          <cell r="A893">
            <v>8840</v>
          </cell>
          <cell r="H893">
            <v>5.3</v>
          </cell>
        </row>
        <row r="894">
          <cell r="A894">
            <v>8850</v>
          </cell>
          <cell r="H894">
            <v>5.3</v>
          </cell>
        </row>
        <row r="895">
          <cell r="A895">
            <v>8860</v>
          </cell>
          <cell r="H895">
            <v>5.3</v>
          </cell>
        </row>
        <row r="896">
          <cell r="A896">
            <v>8870</v>
          </cell>
          <cell r="H896">
            <v>5.3</v>
          </cell>
        </row>
        <row r="897">
          <cell r="A897">
            <v>8880</v>
          </cell>
          <cell r="H897">
            <v>5.3</v>
          </cell>
        </row>
        <row r="898">
          <cell r="A898">
            <v>8890</v>
          </cell>
          <cell r="H898">
            <v>5.3</v>
          </cell>
        </row>
        <row r="899">
          <cell r="A899">
            <v>8900</v>
          </cell>
          <cell r="H899">
            <v>5.3</v>
          </cell>
        </row>
        <row r="900">
          <cell r="A900">
            <v>8910</v>
          </cell>
          <cell r="H900">
            <v>5.3</v>
          </cell>
        </row>
        <row r="901">
          <cell r="A901">
            <v>8920</v>
          </cell>
          <cell r="H901">
            <v>5.3</v>
          </cell>
        </row>
        <row r="902">
          <cell r="A902">
            <v>8930</v>
          </cell>
          <cell r="H902">
            <v>5.3</v>
          </cell>
        </row>
        <row r="903">
          <cell r="A903">
            <v>8940</v>
          </cell>
          <cell r="H903">
            <v>5.3</v>
          </cell>
        </row>
        <row r="904">
          <cell r="A904">
            <v>8950</v>
          </cell>
          <cell r="H904">
            <v>5.3</v>
          </cell>
        </row>
        <row r="905">
          <cell r="A905">
            <v>8960</v>
          </cell>
          <cell r="H905">
            <v>5.3</v>
          </cell>
        </row>
        <row r="906">
          <cell r="A906">
            <v>8970</v>
          </cell>
          <cell r="H906">
            <v>5.3</v>
          </cell>
        </row>
        <row r="907">
          <cell r="A907">
            <v>8980</v>
          </cell>
          <cell r="H907">
            <v>5.3</v>
          </cell>
        </row>
        <row r="908">
          <cell r="A908">
            <v>8990</v>
          </cell>
          <cell r="H908">
            <v>5.3</v>
          </cell>
        </row>
        <row r="909">
          <cell r="A909">
            <v>9000</v>
          </cell>
          <cell r="H909">
            <v>5.3</v>
          </cell>
        </row>
        <row r="910">
          <cell r="A910">
            <v>9010</v>
          </cell>
          <cell r="H910">
            <v>5.3</v>
          </cell>
        </row>
        <row r="911">
          <cell r="A911">
            <v>9020</v>
          </cell>
          <cell r="H911">
            <v>5.3</v>
          </cell>
        </row>
        <row r="912">
          <cell r="A912">
            <v>9030</v>
          </cell>
          <cell r="H912">
            <v>5.3</v>
          </cell>
        </row>
        <row r="913">
          <cell r="A913">
            <v>9040</v>
          </cell>
          <cell r="H913">
            <v>5.3</v>
          </cell>
        </row>
        <row r="914">
          <cell r="A914">
            <v>9050</v>
          </cell>
          <cell r="H914">
            <v>5.3</v>
          </cell>
        </row>
        <row r="915">
          <cell r="A915">
            <v>9060</v>
          </cell>
          <cell r="H915">
            <v>5.3</v>
          </cell>
        </row>
        <row r="916">
          <cell r="A916">
            <v>9070</v>
          </cell>
          <cell r="H916">
            <v>5.3</v>
          </cell>
        </row>
        <row r="917">
          <cell r="A917">
            <v>9080</v>
          </cell>
          <cell r="H917">
            <v>5.3</v>
          </cell>
        </row>
        <row r="918">
          <cell r="A918">
            <v>9090</v>
          </cell>
          <cell r="H918">
            <v>5.3</v>
          </cell>
        </row>
        <row r="919">
          <cell r="A919">
            <v>9100</v>
          </cell>
          <cell r="G919">
            <v>6.5</v>
          </cell>
          <cell r="H919">
            <v>5.3</v>
          </cell>
        </row>
        <row r="920">
          <cell r="A920">
            <v>9110</v>
          </cell>
          <cell r="H920">
            <v>5.3</v>
          </cell>
        </row>
        <row r="921">
          <cell r="A921">
            <v>9120</v>
          </cell>
          <cell r="H921">
            <v>5.3</v>
          </cell>
        </row>
        <row r="922">
          <cell r="A922">
            <v>9130</v>
          </cell>
          <cell r="H922">
            <v>5.3</v>
          </cell>
        </row>
        <row r="923">
          <cell r="A923">
            <v>9140</v>
          </cell>
          <cell r="H923">
            <v>5.3</v>
          </cell>
        </row>
        <row r="924">
          <cell r="A924">
            <v>9150</v>
          </cell>
          <cell r="H924">
            <v>5.3</v>
          </cell>
        </row>
        <row r="925">
          <cell r="A925">
            <v>9160</v>
          </cell>
          <cell r="H925">
            <v>5.3</v>
          </cell>
        </row>
        <row r="926">
          <cell r="A926">
            <v>9170</v>
          </cell>
          <cell r="H926">
            <v>5.3</v>
          </cell>
        </row>
        <row r="927">
          <cell r="A927">
            <v>9180</v>
          </cell>
          <cell r="H927">
            <v>5.3</v>
          </cell>
        </row>
        <row r="928">
          <cell r="A928">
            <v>9190</v>
          </cell>
          <cell r="H928">
            <v>5.3</v>
          </cell>
        </row>
        <row r="929">
          <cell r="A929">
            <v>9200</v>
          </cell>
          <cell r="B929">
            <v>5.2</v>
          </cell>
          <cell r="H929">
            <v>5.3</v>
          </cell>
        </row>
        <row r="930">
          <cell r="A930">
            <v>9210</v>
          </cell>
          <cell r="H930">
            <v>5.3</v>
          </cell>
        </row>
        <row r="931">
          <cell r="A931">
            <v>9220</v>
          </cell>
          <cell r="H931">
            <v>5.3</v>
          </cell>
        </row>
        <row r="932">
          <cell r="A932">
            <v>9230</v>
          </cell>
          <cell r="H932">
            <v>5.3</v>
          </cell>
        </row>
        <row r="933">
          <cell r="A933">
            <v>9240</v>
          </cell>
          <cell r="H933">
            <v>5.3</v>
          </cell>
        </row>
        <row r="934">
          <cell r="A934">
            <v>9250</v>
          </cell>
          <cell r="H934">
            <v>5.3</v>
          </cell>
        </row>
        <row r="935">
          <cell r="A935">
            <v>9260</v>
          </cell>
          <cell r="H935">
            <v>5.3</v>
          </cell>
        </row>
        <row r="936">
          <cell r="A936">
            <v>9270</v>
          </cell>
          <cell r="H936">
            <v>5.3</v>
          </cell>
        </row>
        <row r="937">
          <cell r="A937">
            <v>9280</v>
          </cell>
          <cell r="H937">
            <v>5.3</v>
          </cell>
        </row>
        <row r="938">
          <cell r="A938">
            <v>9290</v>
          </cell>
          <cell r="H938">
            <v>5.3</v>
          </cell>
        </row>
        <row r="939">
          <cell r="A939">
            <v>9300</v>
          </cell>
          <cell r="H939">
            <v>5.3</v>
          </cell>
        </row>
        <row r="940">
          <cell r="A940">
            <v>9310</v>
          </cell>
          <cell r="H940">
            <v>5.3</v>
          </cell>
        </row>
        <row r="941">
          <cell r="A941">
            <v>9320</v>
          </cell>
          <cell r="H941">
            <v>5.3</v>
          </cell>
        </row>
        <row r="942">
          <cell r="A942">
            <v>9330</v>
          </cell>
          <cell r="H942">
            <v>5.3</v>
          </cell>
        </row>
        <row r="943">
          <cell r="A943">
            <v>9340</v>
          </cell>
          <cell r="H943">
            <v>5.3</v>
          </cell>
        </row>
        <row r="944">
          <cell r="A944">
            <v>9350</v>
          </cell>
          <cell r="H944">
            <v>5.3</v>
          </cell>
        </row>
        <row r="945">
          <cell r="A945">
            <v>9360</v>
          </cell>
          <cell r="H945">
            <v>5.3</v>
          </cell>
        </row>
        <row r="946">
          <cell r="A946">
            <v>9370</v>
          </cell>
          <cell r="H946">
            <v>5.3</v>
          </cell>
        </row>
        <row r="947">
          <cell r="A947">
            <v>9380</v>
          </cell>
          <cell r="H947">
            <v>5.3</v>
          </cell>
        </row>
        <row r="948">
          <cell r="A948">
            <v>9390</v>
          </cell>
          <cell r="H948">
            <v>5.3</v>
          </cell>
        </row>
        <row r="949">
          <cell r="A949">
            <v>9400</v>
          </cell>
          <cell r="H949">
            <v>5.3</v>
          </cell>
        </row>
        <row r="950">
          <cell r="A950">
            <v>9410</v>
          </cell>
          <cell r="H950">
            <v>5.3</v>
          </cell>
        </row>
        <row r="951">
          <cell r="A951">
            <v>9420</v>
          </cell>
          <cell r="H951">
            <v>5.3</v>
          </cell>
        </row>
        <row r="952">
          <cell r="A952">
            <v>9430</v>
          </cell>
          <cell r="H952">
            <v>5.3</v>
          </cell>
        </row>
        <row r="953">
          <cell r="A953">
            <v>9440</v>
          </cell>
          <cell r="H953">
            <v>5.3</v>
          </cell>
        </row>
        <row r="954">
          <cell r="A954">
            <v>9450</v>
          </cell>
          <cell r="H954">
            <v>5.3</v>
          </cell>
        </row>
        <row r="955">
          <cell r="A955">
            <v>9460</v>
          </cell>
          <cell r="H955">
            <v>5.3</v>
          </cell>
        </row>
        <row r="956">
          <cell r="A956">
            <v>9470</v>
          </cell>
          <cell r="H956">
            <v>5.3</v>
          </cell>
        </row>
        <row r="957">
          <cell r="A957">
            <v>9480</v>
          </cell>
          <cell r="H957">
            <v>5.3</v>
          </cell>
        </row>
        <row r="958">
          <cell r="A958">
            <v>9490</v>
          </cell>
          <cell r="H958">
            <v>5.3</v>
          </cell>
        </row>
        <row r="959">
          <cell r="A959">
            <v>9500</v>
          </cell>
          <cell r="E959">
            <v>5.5</v>
          </cell>
          <cell r="H959">
            <v>5.3</v>
          </cell>
        </row>
        <row r="960">
          <cell r="A960">
            <v>9510</v>
          </cell>
          <cell r="H960">
            <v>5.3</v>
          </cell>
        </row>
        <row r="961">
          <cell r="A961">
            <v>9520</v>
          </cell>
          <cell r="H961">
            <v>5.3</v>
          </cell>
        </row>
        <row r="962">
          <cell r="A962">
            <v>9530</v>
          </cell>
          <cell r="H962">
            <v>5.3</v>
          </cell>
        </row>
        <row r="963">
          <cell r="A963">
            <v>9540</v>
          </cell>
          <cell r="H963">
            <v>5.3</v>
          </cell>
        </row>
        <row r="964">
          <cell r="A964">
            <v>9550</v>
          </cell>
          <cell r="H964">
            <v>5.3</v>
          </cell>
        </row>
        <row r="965">
          <cell r="A965">
            <v>9560</v>
          </cell>
          <cell r="H965">
            <v>5.3</v>
          </cell>
        </row>
        <row r="966">
          <cell r="A966">
            <v>9570</v>
          </cell>
          <cell r="H966">
            <v>5.3</v>
          </cell>
        </row>
        <row r="967">
          <cell r="A967">
            <v>9580</v>
          </cell>
          <cell r="H967">
            <v>5.3</v>
          </cell>
        </row>
        <row r="968">
          <cell r="A968">
            <v>9590</v>
          </cell>
          <cell r="H968">
            <v>5.3</v>
          </cell>
        </row>
        <row r="969">
          <cell r="A969">
            <v>9600</v>
          </cell>
          <cell r="D969">
            <v>6</v>
          </cell>
          <cell r="H969">
            <v>5.3</v>
          </cell>
        </row>
        <row r="970">
          <cell r="A970">
            <v>9610</v>
          </cell>
          <cell r="H970">
            <v>5.3</v>
          </cell>
        </row>
        <row r="971">
          <cell r="A971">
            <v>9620</v>
          </cell>
          <cell r="H971">
            <v>5.3</v>
          </cell>
        </row>
        <row r="972">
          <cell r="A972">
            <v>9630</v>
          </cell>
          <cell r="H972">
            <v>5.3</v>
          </cell>
        </row>
        <row r="973">
          <cell r="A973">
            <v>9640</v>
          </cell>
          <cell r="H973">
            <v>5.3</v>
          </cell>
        </row>
        <row r="974">
          <cell r="A974">
            <v>9650</v>
          </cell>
          <cell r="H974">
            <v>5.3</v>
          </cell>
        </row>
        <row r="975">
          <cell r="A975">
            <v>9660</v>
          </cell>
          <cell r="H975">
            <v>5.3</v>
          </cell>
        </row>
        <row r="976">
          <cell r="A976">
            <v>9670</v>
          </cell>
          <cell r="H976">
            <v>5.3</v>
          </cell>
        </row>
        <row r="977">
          <cell r="A977">
            <v>9680</v>
          </cell>
          <cell r="H977">
            <v>5.3</v>
          </cell>
        </row>
        <row r="978">
          <cell r="A978">
            <v>9690</v>
          </cell>
          <cell r="H978">
            <v>5.3</v>
          </cell>
        </row>
        <row r="979">
          <cell r="A979">
            <v>9700</v>
          </cell>
          <cell r="H979">
            <v>5.3</v>
          </cell>
        </row>
        <row r="980">
          <cell r="A980">
            <v>9710</v>
          </cell>
          <cell r="H980">
            <v>5.3</v>
          </cell>
        </row>
        <row r="981">
          <cell r="A981">
            <v>9720</v>
          </cell>
          <cell r="H981">
            <v>5.3</v>
          </cell>
        </row>
        <row r="982">
          <cell r="A982">
            <v>9730</v>
          </cell>
          <cell r="H982">
            <v>5.3</v>
          </cell>
        </row>
        <row r="983">
          <cell r="A983">
            <v>9740</v>
          </cell>
          <cell r="H983">
            <v>5.3</v>
          </cell>
        </row>
        <row r="984">
          <cell r="A984">
            <v>9750</v>
          </cell>
          <cell r="H984">
            <v>5.3</v>
          </cell>
        </row>
        <row r="985">
          <cell r="A985">
            <v>9760</v>
          </cell>
          <cell r="H985">
            <v>5.3</v>
          </cell>
        </row>
        <row r="986">
          <cell r="A986">
            <v>9770</v>
          </cell>
          <cell r="H986">
            <v>5.3</v>
          </cell>
        </row>
        <row r="987">
          <cell r="A987">
            <v>9780</v>
          </cell>
          <cell r="H987">
            <v>5.3</v>
          </cell>
        </row>
        <row r="988">
          <cell r="A988">
            <v>9790</v>
          </cell>
          <cell r="H988">
            <v>5.3</v>
          </cell>
        </row>
        <row r="989">
          <cell r="A989">
            <v>9800</v>
          </cell>
          <cell r="H989">
            <v>5.3</v>
          </cell>
        </row>
        <row r="990">
          <cell r="A990">
            <v>9810</v>
          </cell>
          <cell r="H990">
            <v>5.3</v>
          </cell>
        </row>
        <row r="991">
          <cell r="A991">
            <v>9820</v>
          </cell>
          <cell r="H991">
            <v>5.3</v>
          </cell>
        </row>
        <row r="992">
          <cell r="A992">
            <v>9830</v>
          </cell>
          <cell r="H992">
            <v>5.3</v>
          </cell>
        </row>
        <row r="993">
          <cell r="A993">
            <v>9840</v>
          </cell>
          <cell r="H993">
            <v>5.3</v>
          </cell>
        </row>
        <row r="994">
          <cell r="A994">
            <v>9850</v>
          </cell>
          <cell r="H994">
            <v>5.3</v>
          </cell>
        </row>
        <row r="995">
          <cell r="A995">
            <v>9860</v>
          </cell>
          <cell r="H995">
            <v>5.3</v>
          </cell>
        </row>
        <row r="996">
          <cell r="A996">
            <v>9870</v>
          </cell>
          <cell r="H996">
            <v>5.3</v>
          </cell>
        </row>
        <row r="997">
          <cell r="A997">
            <v>9880</v>
          </cell>
          <cell r="H997">
            <v>5.3</v>
          </cell>
        </row>
        <row r="998">
          <cell r="A998">
            <v>9890</v>
          </cell>
          <cell r="H998">
            <v>5.3</v>
          </cell>
        </row>
        <row r="999">
          <cell r="A999">
            <v>9900</v>
          </cell>
          <cell r="G999">
            <v>5</v>
          </cell>
          <cell r="H999">
            <v>5.3</v>
          </cell>
        </row>
        <row r="1000">
          <cell r="A1000">
            <v>9910</v>
          </cell>
          <cell r="H1000">
            <v>5.3</v>
          </cell>
        </row>
        <row r="1001">
          <cell r="A1001">
            <v>9920</v>
          </cell>
          <cell r="H1001">
            <v>5.3</v>
          </cell>
        </row>
        <row r="1002">
          <cell r="A1002">
            <v>9930</v>
          </cell>
          <cell r="H1002">
            <v>5.3</v>
          </cell>
        </row>
        <row r="1003">
          <cell r="A1003">
            <v>9940</v>
          </cell>
          <cell r="H1003">
            <v>5.3</v>
          </cell>
        </row>
        <row r="1004">
          <cell r="A1004">
            <v>9950</v>
          </cell>
          <cell r="H1004">
            <v>5.3</v>
          </cell>
        </row>
        <row r="1005">
          <cell r="A1005">
            <v>9960</v>
          </cell>
          <cell r="H1005">
            <v>5.3</v>
          </cell>
        </row>
        <row r="1006">
          <cell r="A1006">
            <v>9970</v>
          </cell>
          <cell r="H1006">
            <v>5.3</v>
          </cell>
        </row>
        <row r="1007">
          <cell r="A1007">
            <v>9980</v>
          </cell>
          <cell r="H1007">
            <v>5.3</v>
          </cell>
        </row>
        <row r="1008">
          <cell r="A1008">
            <v>9990</v>
          </cell>
          <cell r="H1008">
            <v>5.3</v>
          </cell>
        </row>
        <row r="1009">
          <cell r="A1009">
            <v>10000</v>
          </cell>
          <cell r="B1009">
            <v>6</v>
          </cell>
          <cell r="H1009">
            <v>5.3</v>
          </cell>
        </row>
        <row r="1010">
          <cell r="A1010">
            <v>10010</v>
          </cell>
          <cell r="H1010">
            <v>5.3</v>
          </cell>
        </row>
        <row r="1011">
          <cell r="A1011">
            <v>10020</v>
          </cell>
          <cell r="H1011">
            <v>5.3</v>
          </cell>
        </row>
        <row r="1012">
          <cell r="A1012">
            <v>10030</v>
          </cell>
          <cell r="H1012">
            <v>5.3</v>
          </cell>
        </row>
        <row r="1013">
          <cell r="A1013">
            <v>10040</v>
          </cell>
          <cell r="H1013">
            <v>5.3</v>
          </cell>
        </row>
        <row r="1014">
          <cell r="A1014">
            <v>10050</v>
          </cell>
          <cell r="H1014">
            <v>5.3</v>
          </cell>
        </row>
        <row r="1015">
          <cell r="A1015">
            <v>10060</v>
          </cell>
          <cell r="H1015">
            <v>5.3</v>
          </cell>
        </row>
        <row r="1016">
          <cell r="A1016">
            <v>10070</v>
          </cell>
          <cell r="H1016">
            <v>5.3</v>
          </cell>
        </row>
        <row r="1017">
          <cell r="A1017">
            <v>10080</v>
          </cell>
          <cell r="H1017">
            <v>5.3</v>
          </cell>
        </row>
        <row r="1018">
          <cell r="A1018">
            <v>10090</v>
          </cell>
          <cell r="H1018">
            <v>5.3</v>
          </cell>
        </row>
        <row r="1019">
          <cell r="A1019">
            <v>10100</v>
          </cell>
          <cell r="H1019">
            <v>5.3</v>
          </cell>
        </row>
        <row r="1020">
          <cell r="A1020">
            <v>10110</v>
          </cell>
          <cell r="H1020">
            <v>5.3</v>
          </cell>
        </row>
        <row r="1021">
          <cell r="A1021">
            <v>10120</v>
          </cell>
          <cell r="H1021">
            <v>5.3</v>
          </cell>
        </row>
        <row r="1022">
          <cell r="A1022">
            <v>10130</v>
          </cell>
          <cell r="H1022">
            <v>5.3</v>
          </cell>
        </row>
        <row r="1023">
          <cell r="A1023">
            <v>10140</v>
          </cell>
          <cell r="H1023">
            <v>5.3</v>
          </cell>
        </row>
        <row r="1024">
          <cell r="A1024">
            <v>10150</v>
          </cell>
          <cell r="H1024">
            <v>5.3</v>
          </cell>
        </row>
        <row r="1025">
          <cell r="A1025">
            <v>10160</v>
          </cell>
          <cell r="H1025">
            <v>5.3</v>
          </cell>
        </row>
        <row r="1026">
          <cell r="A1026">
            <v>10170</v>
          </cell>
          <cell r="H1026">
            <v>5.3</v>
          </cell>
        </row>
        <row r="1027">
          <cell r="A1027">
            <v>10180</v>
          </cell>
          <cell r="H1027">
            <v>5.3</v>
          </cell>
        </row>
        <row r="1028">
          <cell r="A1028">
            <v>10190</v>
          </cell>
          <cell r="H1028">
            <v>5.3</v>
          </cell>
        </row>
        <row r="1029">
          <cell r="A1029">
            <v>10200</v>
          </cell>
          <cell r="H1029">
            <v>5.3</v>
          </cell>
        </row>
        <row r="1030">
          <cell r="A1030">
            <v>10210</v>
          </cell>
          <cell r="H1030">
            <v>5.3</v>
          </cell>
        </row>
        <row r="1031">
          <cell r="A1031">
            <v>10220</v>
          </cell>
          <cell r="H1031">
            <v>5.3</v>
          </cell>
        </row>
        <row r="1032">
          <cell r="A1032">
            <v>10230</v>
          </cell>
          <cell r="H1032">
            <v>5.3</v>
          </cell>
        </row>
        <row r="1033">
          <cell r="A1033">
            <v>10240</v>
          </cell>
          <cell r="H1033">
            <v>5.3</v>
          </cell>
        </row>
        <row r="1034">
          <cell r="A1034">
            <v>10250</v>
          </cell>
          <cell r="H1034">
            <v>5.3</v>
          </cell>
        </row>
        <row r="1035">
          <cell r="A1035">
            <v>10260</v>
          </cell>
          <cell r="H1035">
            <v>5.3</v>
          </cell>
        </row>
        <row r="1036">
          <cell r="A1036">
            <v>10270</v>
          </cell>
          <cell r="H1036">
            <v>5.3</v>
          </cell>
        </row>
        <row r="1037">
          <cell r="A1037">
            <v>10280</v>
          </cell>
          <cell r="H1037">
            <v>5.3</v>
          </cell>
        </row>
        <row r="1038">
          <cell r="A1038">
            <v>10290</v>
          </cell>
          <cell r="H1038">
            <v>5.3</v>
          </cell>
        </row>
        <row r="1039">
          <cell r="A1039">
            <v>10300</v>
          </cell>
          <cell r="H1039">
            <v>5.3</v>
          </cell>
        </row>
        <row r="1040">
          <cell r="A1040">
            <v>10310</v>
          </cell>
          <cell r="H1040">
            <v>5.3</v>
          </cell>
        </row>
        <row r="1041">
          <cell r="A1041">
            <v>10320</v>
          </cell>
          <cell r="H1041">
            <v>5.3</v>
          </cell>
        </row>
        <row r="1042">
          <cell r="A1042">
            <v>10330</v>
          </cell>
          <cell r="H1042">
            <v>5.3</v>
          </cell>
        </row>
        <row r="1043">
          <cell r="A1043">
            <v>10340</v>
          </cell>
          <cell r="H1043">
            <v>5.3</v>
          </cell>
        </row>
        <row r="1044">
          <cell r="A1044">
            <v>10350</v>
          </cell>
          <cell r="H1044">
            <v>5.3</v>
          </cell>
        </row>
        <row r="1045">
          <cell r="A1045">
            <v>10360</v>
          </cell>
          <cell r="H1045">
            <v>5.3</v>
          </cell>
        </row>
        <row r="1046">
          <cell r="A1046">
            <v>10370</v>
          </cell>
          <cell r="H1046">
            <v>5.3</v>
          </cell>
        </row>
        <row r="1047">
          <cell r="A1047">
            <v>10380</v>
          </cell>
          <cell r="H1047">
            <v>5.3</v>
          </cell>
        </row>
        <row r="1048">
          <cell r="A1048">
            <v>10390</v>
          </cell>
          <cell r="H1048">
            <v>5.3</v>
          </cell>
        </row>
        <row r="1049">
          <cell r="A1049">
            <v>10400</v>
          </cell>
          <cell r="E1049">
            <v>5.5</v>
          </cell>
          <cell r="H1049">
            <v>5.3</v>
          </cell>
        </row>
        <row r="1050">
          <cell r="A1050">
            <v>10410</v>
          </cell>
          <cell r="H1050">
            <v>5.3</v>
          </cell>
        </row>
        <row r="1051">
          <cell r="A1051">
            <v>10420</v>
          </cell>
          <cell r="H1051">
            <v>5.3</v>
          </cell>
        </row>
        <row r="1052">
          <cell r="A1052">
            <v>10430</v>
          </cell>
          <cell r="H1052">
            <v>5.3</v>
          </cell>
        </row>
        <row r="1053">
          <cell r="A1053">
            <v>10440</v>
          </cell>
          <cell r="H1053">
            <v>5.3</v>
          </cell>
        </row>
        <row r="1054">
          <cell r="A1054">
            <v>10450</v>
          </cell>
          <cell r="H1054">
            <v>5.3</v>
          </cell>
        </row>
        <row r="1055">
          <cell r="A1055">
            <v>10460</v>
          </cell>
          <cell r="B1055" t="str">
            <v>.</v>
          </cell>
          <cell r="H1055">
            <v>5.3</v>
          </cell>
        </row>
        <row r="1056">
          <cell r="A1056">
            <v>10470</v>
          </cell>
          <cell r="H1056">
            <v>5.3</v>
          </cell>
        </row>
        <row r="1057">
          <cell r="A1057">
            <v>10480</v>
          </cell>
          <cell r="H1057">
            <v>5.3</v>
          </cell>
        </row>
        <row r="1058">
          <cell r="A1058">
            <v>10490</v>
          </cell>
          <cell r="H1058">
            <v>5.3</v>
          </cell>
        </row>
        <row r="1059">
          <cell r="A1059">
            <v>10500</v>
          </cell>
          <cell r="B1059">
            <v>6</v>
          </cell>
          <cell r="H1059">
            <v>5.3</v>
          </cell>
        </row>
        <row r="1060">
          <cell r="A1060">
            <v>10510</v>
          </cell>
          <cell r="H1060">
            <v>5.3</v>
          </cell>
        </row>
        <row r="1061">
          <cell r="A1061">
            <v>10520</v>
          </cell>
          <cell r="H1061">
            <v>5.3</v>
          </cell>
        </row>
        <row r="1062">
          <cell r="A1062">
            <v>10530</v>
          </cell>
          <cell r="H1062">
            <v>5.3</v>
          </cell>
        </row>
        <row r="1063">
          <cell r="A1063">
            <v>10540</v>
          </cell>
          <cell r="H1063">
            <v>5.3</v>
          </cell>
        </row>
        <row r="1064">
          <cell r="A1064">
            <v>10550</v>
          </cell>
          <cell r="H1064">
            <v>5.3</v>
          </cell>
        </row>
        <row r="1065">
          <cell r="A1065">
            <v>10560</v>
          </cell>
          <cell r="H1065">
            <v>5.3</v>
          </cell>
        </row>
        <row r="1066">
          <cell r="A1066">
            <v>10570</v>
          </cell>
          <cell r="H1066">
            <v>5.3</v>
          </cell>
        </row>
        <row r="1067">
          <cell r="A1067">
            <v>10580</v>
          </cell>
          <cell r="H1067">
            <v>5.3</v>
          </cell>
        </row>
        <row r="1068">
          <cell r="A1068">
            <v>10590</v>
          </cell>
          <cell r="H1068">
            <v>5.3</v>
          </cell>
        </row>
        <row r="1069">
          <cell r="A1069">
            <v>10600</v>
          </cell>
          <cell r="H1069">
            <v>5.3</v>
          </cell>
        </row>
        <row r="1070">
          <cell r="A1070">
            <v>10610</v>
          </cell>
          <cell r="H1070">
            <v>5.3</v>
          </cell>
        </row>
        <row r="1071">
          <cell r="A1071">
            <v>10620</v>
          </cell>
          <cell r="H1071">
            <v>5.3</v>
          </cell>
        </row>
        <row r="1072">
          <cell r="A1072">
            <v>10630</v>
          </cell>
          <cell r="H1072">
            <v>5.3</v>
          </cell>
        </row>
        <row r="1073">
          <cell r="A1073">
            <v>10640</v>
          </cell>
          <cell r="H1073">
            <v>5.3</v>
          </cell>
        </row>
        <row r="1074">
          <cell r="A1074">
            <v>10650</v>
          </cell>
          <cell r="H1074">
            <v>5.3</v>
          </cell>
        </row>
        <row r="1075">
          <cell r="A1075">
            <v>10660</v>
          </cell>
          <cell r="H1075">
            <v>5.3</v>
          </cell>
        </row>
        <row r="1076">
          <cell r="A1076">
            <v>10670</v>
          </cell>
          <cell r="H1076">
            <v>5.3</v>
          </cell>
        </row>
        <row r="1077">
          <cell r="A1077">
            <v>10680</v>
          </cell>
          <cell r="H1077">
            <v>5.3</v>
          </cell>
        </row>
        <row r="1078">
          <cell r="A1078">
            <v>10690</v>
          </cell>
          <cell r="H1078">
            <v>5.3</v>
          </cell>
        </row>
        <row r="1079">
          <cell r="A1079">
            <v>10700</v>
          </cell>
          <cell r="H1079">
            <v>5.3</v>
          </cell>
        </row>
        <row r="1080">
          <cell r="A1080">
            <v>10710</v>
          </cell>
          <cell r="H1080">
            <v>5.3</v>
          </cell>
        </row>
        <row r="1081">
          <cell r="A1081">
            <v>10720</v>
          </cell>
          <cell r="H1081">
            <v>5.3</v>
          </cell>
        </row>
        <row r="1082">
          <cell r="A1082">
            <v>10730</v>
          </cell>
          <cell r="H1082">
            <v>5.3</v>
          </cell>
        </row>
        <row r="1083">
          <cell r="A1083">
            <v>10740</v>
          </cell>
          <cell r="H1083">
            <v>5.3</v>
          </cell>
        </row>
        <row r="1084">
          <cell r="A1084">
            <v>10750</v>
          </cell>
          <cell r="H1084">
            <v>5.3</v>
          </cell>
        </row>
        <row r="1085">
          <cell r="A1085">
            <v>10760</v>
          </cell>
          <cell r="H1085">
            <v>5.3</v>
          </cell>
        </row>
        <row r="1086">
          <cell r="A1086">
            <v>10770</v>
          </cell>
          <cell r="H1086">
            <v>5.3</v>
          </cell>
        </row>
        <row r="1087">
          <cell r="A1087">
            <v>10780</v>
          </cell>
          <cell r="H1087">
            <v>5.3</v>
          </cell>
        </row>
        <row r="1088">
          <cell r="A1088">
            <v>10790</v>
          </cell>
          <cell r="H1088">
            <v>5.3</v>
          </cell>
        </row>
        <row r="1089">
          <cell r="A1089">
            <v>10800</v>
          </cell>
          <cell r="H1089">
            <v>5.3</v>
          </cell>
        </row>
        <row r="1090">
          <cell r="A1090">
            <v>10810</v>
          </cell>
          <cell r="H1090">
            <v>5.3</v>
          </cell>
        </row>
        <row r="1091">
          <cell r="A1091">
            <v>10820</v>
          </cell>
          <cell r="H1091">
            <v>5.3</v>
          </cell>
        </row>
        <row r="1092">
          <cell r="A1092">
            <v>10830</v>
          </cell>
          <cell r="H1092">
            <v>5.3</v>
          </cell>
        </row>
        <row r="1093">
          <cell r="A1093">
            <v>10840</v>
          </cell>
          <cell r="H1093">
            <v>5.3</v>
          </cell>
        </row>
        <row r="1094">
          <cell r="A1094">
            <v>10850</v>
          </cell>
          <cell r="H1094">
            <v>5.3</v>
          </cell>
        </row>
        <row r="1095">
          <cell r="A1095">
            <v>10860</v>
          </cell>
          <cell r="H1095">
            <v>5.3</v>
          </cell>
        </row>
        <row r="1096">
          <cell r="A1096">
            <v>10870</v>
          </cell>
          <cell r="H1096">
            <v>5.3</v>
          </cell>
        </row>
        <row r="1097">
          <cell r="A1097">
            <v>10880</v>
          </cell>
          <cell r="H1097">
            <v>5.3</v>
          </cell>
        </row>
        <row r="1098">
          <cell r="A1098">
            <v>10890</v>
          </cell>
          <cell r="H1098">
            <v>5.3</v>
          </cell>
        </row>
        <row r="1099">
          <cell r="A1099">
            <v>10900</v>
          </cell>
          <cell r="H1099">
            <v>5.3</v>
          </cell>
        </row>
        <row r="1100">
          <cell r="A1100">
            <v>10910</v>
          </cell>
          <cell r="H1100">
            <v>5.3</v>
          </cell>
        </row>
        <row r="1101">
          <cell r="A1101">
            <v>10920</v>
          </cell>
          <cell r="H1101">
            <v>5.3</v>
          </cell>
        </row>
        <row r="1102">
          <cell r="A1102">
            <v>10930</v>
          </cell>
          <cell r="H1102">
            <v>5.3</v>
          </cell>
        </row>
        <row r="1103">
          <cell r="A1103">
            <v>10940</v>
          </cell>
          <cell r="H1103">
            <v>5.3</v>
          </cell>
        </row>
        <row r="1104">
          <cell r="A1104">
            <v>10950</v>
          </cell>
          <cell r="H1104">
            <v>5.3</v>
          </cell>
        </row>
        <row r="1105">
          <cell r="A1105">
            <v>10960</v>
          </cell>
          <cell r="H1105">
            <v>5.3</v>
          </cell>
        </row>
        <row r="1106">
          <cell r="A1106">
            <v>10970</v>
          </cell>
          <cell r="H1106">
            <v>5.3</v>
          </cell>
        </row>
        <row r="1107">
          <cell r="A1107">
            <v>10980</v>
          </cell>
          <cell r="H1107">
            <v>5.3</v>
          </cell>
        </row>
        <row r="1108">
          <cell r="A1108">
            <v>10990</v>
          </cell>
          <cell r="H1108">
            <v>5.3</v>
          </cell>
        </row>
        <row r="1109">
          <cell r="A1109">
            <v>11000</v>
          </cell>
          <cell r="H1109">
            <v>5.3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 1"/>
      <sheetName val="Proctor 2"/>
      <sheetName val="Proctor 3"/>
      <sheetName val="Proctor 4"/>
      <sheetName val="Proctor 5"/>
      <sheetName val="Proctor 6"/>
    </sheetNames>
    <sheetDataSet>
      <sheetData sheetId="0">
        <row r="21">
          <cell r="E21">
            <v>2068</v>
          </cell>
          <cell r="I21">
            <v>6450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 1"/>
      <sheetName val="Proctor 2"/>
      <sheetName val="Proctor 3"/>
      <sheetName val="Proctor 4"/>
      <sheetName val="Proctor 5"/>
      <sheetName val="Proctor 6"/>
    </sheetNames>
    <sheetDataSet>
      <sheetData sheetId="0">
        <row r="21">
          <cell r="E21">
            <v>2068</v>
          </cell>
          <cell r="I21">
            <v>6450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7</v>
    <v>8</v>
    <v>0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4"/>
  <sheetViews>
    <sheetView topLeftCell="A8" zoomScaleNormal="100" workbookViewId="0">
      <selection activeCell="O22" sqref="O22"/>
    </sheetView>
  </sheetViews>
  <sheetFormatPr baseColWidth="10" defaultColWidth="12.625" defaultRowHeight="15" customHeight="1"/>
  <cols>
    <col min="1" max="1" width="2.375" customWidth="1"/>
    <col min="2" max="2" width="17" customWidth="1"/>
    <col min="3" max="3" width="17.5" customWidth="1"/>
    <col min="4" max="4" width="21.625" customWidth="1"/>
    <col min="5" max="5" width="2.375" hidden="1" customWidth="1"/>
    <col min="6" max="10" width="11" customWidth="1"/>
    <col min="11" max="26" width="10.625" customWidth="1"/>
  </cols>
  <sheetData>
    <row r="1" spans="1:26" ht="38.25" customHeight="1">
      <c r="A1" s="1"/>
      <c r="B1" s="167" t="str">
        <f>INFORME!C1</f>
        <v>MULTISERVICIOS VIVEL</v>
      </c>
      <c r="C1" s="168"/>
      <c r="D1" s="168"/>
      <c r="E1" s="168"/>
      <c r="F1" s="168"/>
      <c r="G1" s="168"/>
      <c r="H1" s="2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0" customHeight="1">
      <c r="A2" s="6"/>
      <c r="B2" s="170" t="s">
        <v>102</v>
      </c>
      <c r="C2" s="170"/>
      <c r="D2" s="170"/>
      <c r="E2" s="170"/>
      <c r="F2" s="170"/>
      <c r="G2" s="170"/>
      <c r="H2" s="5"/>
      <c r="I2" s="5"/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7" customHeight="1">
      <c r="A3" s="6"/>
      <c r="B3" s="169"/>
      <c r="C3" s="137"/>
      <c r="D3" s="137"/>
      <c r="E3" s="137"/>
      <c r="F3" s="137"/>
      <c r="G3" s="137"/>
      <c r="H3" s="8"/>
      <c r="I3" s="5"/>
      <c r="J3" s="7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s="6"/>
      <c r="B4" s="5"/>
      <c r="C4" s="5"/>
      <c r="D4" s="5"/>
      <c r="E4" s="7"/>
      <c r="F4" s="5"/>
      <c r="G4" s="5"/>
      <c r="H4" s="5"/>
      <c r="I4" s="5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>
      <c r="A5" s="6"/>
      <c r="B5" s="5"/>
      <c r="C5" s="5"/>
      <c r="D5" s="5"/>
      <c r="E5" s="7"/>
      <c r="F5" s="5"/>
      <c r="G5" s="5"/>
      <c r="H5" s="5"/>
      <c r="I5" s="5"/>
      <c r="J5" s="7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>
      <c r="A6" s="6"/>
      <c r="B6" s="5"/>
      <c r="C6" s="5"/>
      <c r="D6" s="5"/>
      <c r="E6" s="7"/>
      <c r="F6" s="5"/>
      <c r="G6" s="5"/>
      <c r="H6" s="5"/>
      <c r="I6" s="5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>
      <c r="A7" s="6"/>
      <c r="B7" s="5"/>
      <c r="C7" s="5"/>
      <c r="D7" s="5"/>
      <c r="E7" s="7"/>
      <c r="F7" s="5"/>
      <c r="G7" s="5"/>
      <c r="H7" s="5"/>
      <c r="I7" s="5"/>
      <c r="J7" s="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8.5" customHeight="1">
      <c r="A8" s="6"/>
      <c r="B8" s="9"/>
      <c r="C8" s="9"/>
      <c r="D8" s="173" t="s">
        <v>0</v>
      </c>
      <c r="E8" s="173"/>
      <c r="F8" s="173"/>
      <c r="G8" s="171">
        <f>+INFORME!C8</f>
        <v>45888</v>
      </c>
      <c r="H8" s="171"/>
      <c r="I8" s="171"/>
      <c r="J8" s="17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customHeight="1">
      <c r="A9" s="6"/>
      <c r="B9" s="5"/>
      <c r="C9" s="5"/>
      <c r="D9" s="5"/>
      <c r="E9" s="7"/>
      <c r="F9" s="5"/>
      <c r="G9" s="5"/>
      <c r="H9" s="5"/>
      <c r="I9" s="5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9" customHeight="1">
      <c r="A10" s="6"/>
      <c r="B10" s="5"/>
      <c r="C10" s="5"/>
      <c r="D10" s="9"/>
      <c r="E10" s="7"/>
      <c r="F10" s="5"/>
      <c r="G10" s="5"/>
      <c r="H10" s="5"/>
      <c r="I10" s="5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5.5" customHeight="1">
      <c r="A11" s="6"/>
      <c r="B11" s="123" t="s">
        <v>12</v>
      </c>
      <c r="C11" s="162" t="s">
        <v>108</v>
      </c>
      <c r="D11" s="163"/>
      <c r="E11" s="163"/>
      <c r="F11" s="163"/>
      <c r="G11" s="163"/>
      <c r="H11" s="163"/>
      <c r="I11" s="163"/>
      <c r="J11" s="16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customHeight="1">
      <c r="A12" s="6"/>
      <c r="B12" s="143"/>
      <c r="C12" s="137"/>
      <c r="D12" s="137"/>
      <c r="E12" s="137"/>
      <c r="F12" s="137"/>
      <c r="G12" s="137"/>
      <c r="H12" s="137"/>
      <c r="I12" s="137"/>
      <c r="J12" s="14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1.5" customHeight="1">
      <c r="A13" s="6"/>
      <c r="B13" s="10" t="s">
        <v>1</v>
      </c>
      <c r="C13" s="162" t="s">
        <v>109</v>
      </c>
      <c r="D13" s="163"/>
      <c r="E13" s="163"/>
      <c r="F13" s="163"/>
      <c r="G13" s="163"/>
      <c r="H13" s="163"/>
      <c r="I13" s="163"/>
      <c r="J13" s="164"/>
      <c r="K13" s="5"/>
      <c r="L13" s="133"/>
      <c r="M13" s="134"/>
      <c r="N13" s="134"/>
      <c r="O13" s="134"/>
      <c r="P13" s="134"/>
      <c r="Q13" s="134"/>
      <c r="R13" s="134"/>
      <c r="S13" s="135"/>
      <c r="T13" s="5"/>
      <c r="U13" s="5"/>
      <c r="V13" s="5"/>
      <c r="W13" s="5"/>
      <c r="X13" s="5"/>
      <c r="Y13" s="5"/>
      <c r="Z13" s="5"/>
    </row>
    <row r="14" spans="1:26" ht="15" customHeight="1">
      <c r="A14" s="6"/>
      <c r="B14" s="5"/>
      <c r="C14" s="5" t="s">
        <v>2</v>
      </c>
      <c r="D14" s="5"/>
      <c r="E14" s="5"/>
      <c r="F14" s="5"/>
      <c r="G14" s="5"/>
      <c r="H14" s="5"/>
      <c r="I14" s="5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>
      <c r="A15" s="6"/>
      <c r="B15" s="5"/>
      <c r="C15" s="5"/>
      <c r="D15" s="5"/>
      <c r="E15" s="5"/>
      <c r="F15" s="5"/>
      <c r="G15" s="5"/>
      <c r="H15" s="5"/>
      <c r="I15" s="5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9.25" customHeight="1">
      <c r="A16" s="6"/>
      <c r="B16" s="165" t="s">
        <v>3</v>
      </c>
      <c r="C16" s="137"/>
      <c r="D16" s="137"/>
      <c r="E16" s="137"/>
      <c r="F16" s="137"/>
      <c r="G16" s="137"/>
      <c r="H16" s="137"/>
      <c r="I16" s="137"/>
      <c r="J16" s="14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>
      <c r="A17" s="6"/>
      <c r="B17" s="143"/>
      <c r="C17" s="137"/>
      <c r="D17" s="137"/>
      <c r="E17" s="137"/>
      <c r="F17" s="137"/>
      <c r="G17" s="137"/>
      <c r="H17" s="137"/>
      <c r="I17" s="137"/>
      <c r="J17" s="14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66.75" customHeight="1">
      <c r="A18" s="6"/>
      <c r="B18" s="166" t="s">
        <v>106</v>
      </c>
      <c r="C18" s="137"/>
      <c r="D18" s="137"/>
      <c r="E18" s="137"/>
      <c r="F18" s="137"/>
      <c r="G18" s="137"/>
      <c r="H18" s="137"/>
      <c r="I18" s="137"/>
      <c r="J18" s="14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6"/>
      <c r="B19" s="11"/>
      <c r="C19" s="5"/>
      <c r="D19" s="5"/>
      <c r="E19" s="5"/>
      <c r="F19" s="5"/>
      <c r="G19" s="5"/>
      <c r="H19" s="5"/>
      <c r="I19" s="5"/>
      <c r="J19" s="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75" customHeight="1">
      <c r="A20" s="6"/>
      <c r="B20" s="162" t="s">
        <v>110</v>
      </c>
      <c r="C20" s="163"/>
      <c r="D20" s="163"/>
      <c r="E20" s="163"/>
      <c r="F20" s="163"/>
      <c r="G20" s="163"/>
      <c r="H20" s="163"/>
      <c r="I20" s="163"/>
      <c r="J20" s="16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0.5" customHeight="1">
      <c r="A21" s="6"/>
      <c r="B21" s="12"/>
      <c r="C21" s="12"/>
      <c r="D21" s="12"/>
      <c r="E21" s="12"/>
      <c r="F21" s="12"/>
      <c r="G21" s="12"/>
      <c r="H21" s="12"/>
      <c r="I21" s="12"/>
      <c r="J21" s="1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5.5" customHeight="1">
      <c r="A22" s="6"/>
      <c r="B22" s="155" t="s">
        <v>107</v>
      </c>
      <c r="C22" s="137"/>
      <c r="D22" s="137"/>
      <c r="E22" s="137"/>
      <c r="F22" s="137"/>
      <c r="G22" s="137"/>
      <c r="H22" s="137"/>
      <c r="I22" s="137"/>
      <c r="J22" s="14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customHeight="1">
      <c r="A23" s="6"/>
      <c r="B23" s="143"/>
      <c r="C23" s="137"/>
      <c r="D23" s="137"/>
      <c r="E23" s="137"/>
      <c r="F23" s="137"/>
      <c r="G23" s="137"/>
      <c r="H23" s="137"/>
      <c r="I23" s="137"/>
      <c r="J23" s="14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4" customHeight="1">
      <c r="A24" s="6"/>
      <c r="B24" s="157" t="s">
        <v>4</v>
      </c>
      <c r="C24" s="137"/>
      <c r="D24" s="137"/>
      <c r="E24" s="137"/>
      <c r="F24" s="137"/>
      <c r="G24" s="137"/>
      <c r="H24" s="137"/>
      <c r="I24" s="137"/>
      <c r="J24" s="14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7.5" customHeight="1">
      <c r="A25" s="6"/>
      <c r="B25" s="158"/>
      <c r="C25" s="137"/>
      <c r="D25" s="137"/>
      <c r="E25" s="137"/>
      <c r="F25" s="137"/>
      <c r="G25" s="137"/>
      <c r="H25" s="137"/>
      <c r="I25" s="137"/>
      <c r="J25" s="14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0" customHeight="1">
      <c r="A26" s="6"/>
      <c r="B26" s="159" t="s">
        <v>103</v>
      </c>
      <c r="C26" s="160"/>
      <c r="D26" s="160"/>
      <c r="E26" s="160"/>
      <c r="F26" s="160"/>
      <c r="G26" s="160"/>
      <c r="H26" s="160"/>
      <c r="I26" s="160"/>
      <c r="J26" s="16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0" customHeight="1">
      <c r="A27" s="6"/>
      <c r="B27" s="152"/>
      <c r="C27" s="153"/>
      <c r="D27" s="153"/>
      <c r="E27" s="153"/>
      <c r="F27" s="153"/>
      <c r="G27" s="153"/>
      <c r="H27" s="153"/>
      <c r="I27" s="153"/>
      <c r="J27" s="15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25" customHeight="1">
      <c r="A28" s="6"/>
      <c r="B28" s="155" t="s">
        <v>5</v>
      </c>
      <c r="C28" s="137"/>
      <c r="D28" s="137"/>
      <c r="E28" s="137"/>
      <c r="F28" s="137"/>
      <c r="G28" s="137"/>
      <c r="H28" s="137"/>
      <c r="I28" s="137"/>
      <c r="J28" s="14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customHeight="1">
      <c r="A29" s="6"/>
      <c r="B29" s="5"/>
      <c r="C29" s="5"/>
      <c r="D29" s="5"/>
      <c r="E29" s="5"/>
      <c r="F29" s="5"/>
      <c r="G29" s="5"/>
      <c r="H29" s="5"/>
      <c r="I29" s="5"/>
      <c r="J29" s="7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customHeight="1">
      <c r="A30" s="6"/>
      <c r="B30" s="156" t="s">
        <v>6</v>
      </c>
      <c r="C30" s="137"/>
      <c r="D30" s="137"/>
      <c r="E30" s="137"/>
      <c r="F30" s="137"/>
      <c r="G30" s="137"/>
      <c r="H30" s="137"/>
      <c r="I30" s="137"/>
      <c r="J30" s="14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customHeight="1">
      <c r="A31" s="6"/>
      <c r="B31" s="143"/>
      <c r="C31" s="137"/>
      <c r="D31" s="137"/>
      <c r="E31" s="137"/>
      <c r="F31" s="137"/>
      <c r="G31" s="137"/>
      <c r="H31" s="137"/>
      <c r="I31" s="137"/>
      <c r="J31" s="14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customHeight="1">
      <c r="A32" s="6"/>
      <c r="B32" s="5"/>
      <c r="C32" s="5"/>
      <c r="D32" s="5"/>
      <c r="E32" s="5"/>
      <c r="F32" s="5"/>
      <c r="G32" s="5"/>
      <c r="H32" s="5"/>
      <c r="I32" s="5"/>
      <c r="J32" s="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>
      <c r="A33" s="6"/>
      <c r="B33" s="5"/>
      <c r="C33" s="5"/>
      <c r="D33" s="136"/>
      <c r="E33" s="137"/>
      <c r="F33" s="137"/>
      <c r="G33" s="5"/>
      <c r="H33" s="5"/>
      <c r="I33" s="5"/>
      <c r="J33" s="7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customHeight="1">
      <c r="A34" s="6"/>
      <c r="B34" s="5"/>
      <c r="C34" s="5"/>
      <c r="D34" s="142"/>
      <c r="E34" s="137"/>
      <c r="F34" s="137"/>
      <c r="G34" s="5"/>
      <c r="H34" s="5"/>
      <c r="I34" s="5"/>
      <c r="J34" s="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customHeight="1">
      <c r="A35" s="6"/>
      <c r="B35" s="143"/>
      <c r="C35" s="137"/>
      <c r="D35" s="137"/>
      <c r="E35" s="137"/>
      <c r="F35" s="137"/>
      <c r="G35" s="137"/>
      <c r="H35" s="137"/>
      <c r="I35" s="137"/>
      <c r="J35" s="14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customHeight="1">
      <c r="A36" s="6"/>
      <c r="B36" s="5"/>
      <c r="C36" s="5"/>
      <c r="D36" s="5"/>
      <c r="E36" s="5"/>
      <c r="F36" s="5"/>
      <c r="G36" s="5"/>
      <c r="H36" s="5"/>
      <c r="I36" s="5"/>
      <c r="J36" s="7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customHeight="1">
      <c r="A37" s="6"/>
      <c r="B37" s="5"/>
      <c r="C37" s="5"/>
      <c r="D37" s="5"/>
      <c r="E37" s="5"/>
      <c r="F37" s="5"/>
      <c r="G37" s="5"/>
      <c r="H37" s="5"/>
      <c r="I37" s="5"/>
      <c r="J37" s="7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" customHeight="1">
      <c r="A38" s="6"/>
      <c r="B38" s="145" t="s">
        <v>7</v>
      </c>
      <c r="C38" s="146"/>
      <c r="D38" s="147"/>
      <c r="E38" s="139"/>
      <c r="F38" s="139"/>
      <c r="G38" s="122"/>
      <c r="H38" s="145" t="s">
        <v>8</v>
      </c>
      <c r="I38" s="146"/>
      <c r="J38" s="14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" customHeight="1">
      <c r="A39" s="6"/>
      <c r="B39" s="138" t="s">
        <v>9</v>
      </c>
      <c r="C39" s="139"/>
      <c r="D39" s="149"/>
      <c r="E39" s="139"/>
      <c r="F39" s="139"/>
      <c r="G39" s="128"/>
      <c r="H39" s="150"/>
      <c r="I39" s="139"/>
      <c r="J39" s="151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" customHeight="1">
      <c r="A40" s="6"/>
      <c r="B40" s="140"/>
      <c r="C40" s="137"/>
      <c r="D40" s="141"/>
      <c r="E40" s="137"/>
      <c r="F40" s="137"/>
      <c r="G40" s="14"/>
      <c r="H40" s="14"/>
      <c r="I40" s="14"/>
      <c r="J40" s="16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6"/>
      <c r="B41" s="5"/>
      <c r="C41" s="5"/>
      <c r="D41" s="5"/>
      <c r="E41" s="5"/>
      <c r="F41" s="5"/>
      <c r="G41" s="5"/>
      <c r="H41" s="5"/>
      <c r="I41" s="5"/>
      <c r="J41" s="7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17"/>
      <c r="B42" s="18"/>
      <c r="C42" s="18"/>
      <c r="D42" s="18"/>
      <c r="E42" s="18"/>
      <c r="F42" s="18"/>
      <c r="G42" s="18"/>
      <c r="H42" s="18"/>
      <c r="I42" s="18"/>
      <c r="J42" s="1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33">
    <mergeCell ref="B1:G1"/>
    <mergeCell ref="B3:G3"/>
    <mergeCell ref="C11:J11"/>
    <mergeCell ref="B12:J12"/>
    <mergeCell ref="B2:G2"/>
    <mergeCell ref="G8:J8"/>
    <mergeCell ref="D8:F8"/>
    <mergeCell ref="C13:J13"/>
    <mergeCell ref="B16:J16"/>
    <mergeCell ref="B17:J17"/>
    <mergeCell ref="B18:J18"/>
    <mergeCell ref="B20:J20"/>
    <mergeCell ref="B22:J22"/>
    <mergeCell ref="B23:J23"/>
    <mergeCell ref="B24:J24"/>
    <mergeCell ref="B25:J25"/>
    <mergeCell ref="B26:J26"/>
    <mergeCell ref="L13:S13"/>
    <mergeCell ref="D33:F33"/>
    <mergeCell ref="B39:C39"/>
    <mergeCell ref="B40:C40"/>
    <mergeCell ref="D40:F40"/>
    <mergeCell ref="D34:F34"/>
    <mergeCell ref="B35:J35"/>
    <mergeCell ref="B38:C38"/>
    <mergeCell ref="D38:F38"/>
    <mergeCell ref="H38:J38"/>
    <mergeCell ref="D39:F39"/>
    <mergeCell ref="H39:J39"/>
    <mergeCell ref="B27:J27"/>
    <mergeCell ref="B28:J28"/>
    <mergeCell ref="B30:J30"/>
    <mergeCell ref="B31:J31"/>
  </mergeCells>
  <printOptions horizontalCentered="1" verticalCentered="1"/>
  <pageMargins left="0.51181102362204722" right="0.19685039370078741" top="0" bottom="0.55118110236220474" header="0" footer="0"/>
  <pageSetup scale="79" orientation="portrait" horizontalDpi="4294967293" verticalDpi="360" r:id="rId1"/>
  <headerFooter>
    <oddFooter>&amp;C_________________________________________________________________________________________________________
&amp;12 &amp;K0020601a. Avenida 8-34 Residenciales Joya De Palencia, Palencia, Guatemala. Tels. 54733871 &amp;K01+000/ 4020-2271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K1000"/>
  <sheetViews>
    <sheetView topLeftCell="A9" zoomScaleNormal="100" workbookViewId="0">
      <selection activeCell="O22" sqref="O22"/>
    </sheetView>
  </sheetViews>
  <sheetFormatPr baseColWidth="10" defaultColWidth="12.625" defaultRowHeight="15" customHeight="1"/>
  <cols>
    <col min="1" max="1" width="13" customWidth="1"/>
    <col min="2" max="2" width="17" customWidth="1"/>
    <col min="3" max="3" width="17.625" customWidth="1"/>
    <col min="4" max="4" width="3.125" customWidth="1"/>
    <col min="5" max="5" width="6.125" customWidth="1"/>
    <col min="6" max="6" width="6.5" customWidth="1"/>
    <col min="7" max="7" width="14.875" customWidth="1"/>
    <col min="8" max="8" width="24.125" customWidth="1"/>
    <col min="9" max="9" width="16.125" customWidth="1"/>
    <col min="10" max="37" width="10" customWidth="1"/>
  </cols>
  <sheetData>
    <row r="1" spans="1:37" ht="29.25" customHeight="1">
      <c r="A1" s="229" t="s">
        <v>10</v>
      </c>
      <c r="B1" s="230"/>
      <c r="C1" s="240" t="s">
        <v>11</v>
      </c>
      <c r="D1" s="241"/>
      <c r="E1" s="241"/>
      <c r="F1" s="241"/>
      <c r="G1" s="241"/>
      <c r="H1" s="241"/>
      <c r="I1" s="11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25.5" customHeight="1">
      <c r="A2" s="231"/>
      <c r="B2" s="232"/>
      <c r="C2" s="242" t="str">
        <f>'INFORME1 (2)'!B2</f>
        <v>Estudio de Suelos, Asfalto y concreto</v>
      </c>
      <c r="D2" s="243"/>
      <c r="E2" s="243"/>
      <c r="F2" s="243"/>
      <c r="G2" s="243"/>
      <c r="H2" s="243"/>
      <c r="I2" s="11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ht="39" customHeight="1">
      <c r="A3" s="185"/>
      <c r="B3" s="187"/>
      <c r="C3" s="233"/>
      <c r="D3" s="234"/>
      <c r="E3" s="234"/>
      <c r="F3" s="234"/>
      <c r="G3" s="234"/>
      <c r="H3" s="234"/>
      <c r="I3" s="11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0.5" customHeight="1">
      <c r="A4" s="235"/>
      <c r="B4" s="175"/>
      <c r="C4" s="236"/>
      <c r="D4" s="216"/>
      <c r="E4" s="216"/>
      <c r="F4" s="216"/>
      <c r="G4" s="216"/>
      <c r="H4" s="216"/>
      <c r="I4" s="21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ht="44.25" customHeight="1">
      <c r="A5" s="238" t="s">
        <v>12</v>
      </c>
      <c r="B5" s="214"/>
      <c r="C5" s="237" t="str">
        <f>'INFORME1 (2)'!C11</f>
        <v>MUNICIPALIDAD DE EL QUETZAL, SAN MARCOS</v>
      </c>
      <c r="D5" s="216"/>
      <c r="E5" s="216"/>
      <c r="F5" s="216"/>
      <c r="G5" s="216"/>
      <c r="H5" s="216"/>
      <c r="I5" s="217"/>
      <c r="J5" s="5"/>
      <c r="K5" s="5"/>
      <c r="L5" s="5"/>
      <c r="M5" s="226"/>
      <c r="N5" s="137"/>
      <c r="O5" s="137"/>
      <c r="P5" s="137"/>
      <c r="Q5" s="137"/>
      <c r="R5" s="137"/>
      <c r="S5" s="137"/>
      <c r="T5" s="137"/>
      <c r="U5" s="137"/>
      <c r="V5" s="137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ht="35.1" customHeight="1">
      <c r="A6" s="213" t="s">
        <v>13</v>
      </c>
      <c r="B6" s="214"/>
      <c r="C6" s="239" t="str">
        <f>'INFORME1 (2)'!C13</f>
        <v>CONSTRUCCIONES Y VENTA ADONAI</v>
      </c>
      <c r="D6" s="216"/>
      <c r="E6" s="216"/>
      <c r="F6" s="216"/>
      <c r="G6" s="216"/>
      <c r="H6" s="216"/>
      <c r="I6" s="217"/>
      <c r="J6" s="5"/>
      <c r="K6" s="5"/>
      <c r="L6" s="5"/>
      <c r="M6" s="226"/>
      <c r="N6" s="137"/>
      <c r="O6" s="137"/>
      <c r="P6" s="137"/>
      <c r="Q6" s="137"/>
      <c r="R6" s="137"/>
      <c r="S6" s="137"/>
      <c r="T6" s="137"/>
      <c r="U6" s="137"/>
      <c r="V6" s="137"/>
      <c r="W6" s="5"/>
      <c r="X6" s="5"/>
      <c r="Y6" s="5"/>
      <c r="Z6" s="5"/>
      <c r="AA6" s="5"/>
      <c r="AB6" s="5"/>
      <c r="AC6" s="5"/>
      <c r="AD6" s="5"/>
      <c r="AE6" s="20"/>
      <c r="AF6" s="20"/>
      <c r="AG6" s="20"/>
      <c r="AH6" s="20"/>
      <c r="AI6" s="20"/>
      <c r="AJ6" s="20"/>
      <c r="AK6" s="21"/>
    </row>
    <row r="7" spans="1:37" ht="77.25" customHeight="1">
      <c r="A7" s="238" t="s">
        <v>14</v>
      </c>
      <c r="B7" s="214"/>
      <c r="C7" s="239" t="str">
        <f>'INFORME1 (2)'!B20</f>
        <v>MEJORAMIENTO CAMINO RURAL ENTRADA PRINCIPAL, DEL PUENTE HACIA CASERIO VILLA NUEVA, MUNICIPIO DE EL QUETZAL, SAN MARCOS</v>
      </c>
      <c r="D7" s="216"/>
      <c r="E7" s="216"/>
      <c r="F7" s="216"/>
      <c r="G7" s="216"/>
      <c r="H7" s="216"/>
      <c r="I7" s="217"/>
      <c r="J7" s="5"/>
      <c r="K7" s="5"/>
      <c r="L7" s="5"/>
      <c r="M7" s="227"/>
      <c r="N7" s="153"/>
      <c r="O7" s="153"/>
      <c r="P7" s="153"/>
      <c r="Q7" s="153"/>
      <c r="R7" s="153"/>
      <c r="S7" s="153"/>
      <c r="T7" s="153"/>
      <c r="U7" s="153"/>
      <c r="V7" s="228"/>
      <c r="W7" s="5"/>
      <c r="X7" s="5"/>
      <c r="Y7" s="5"/>
      <c r="Z7" s="5"/>
      <c r="AA7" s="5"/>
      <c r="AB7" s="5"/>
      <c r="AC7" s="5"/>
      <c r="AD7" s="5"/>
      <c r="AE7" s="20"/>
      <c r="AF7" s="20"/>
      <c r="AG7" s="20"/>
      <c r="AH7" s="20"/>
      <c r="AI7" s="20"/>
      <c r="AJ7" s="20"/>
      <c r="AK7" s="21"/>
    </row>
    <row r="8" spans="1:37" ht="35.1" customHeight="1">
      <c r="A8" s="213" t="s">
        <v>15</v>
      </c>
      <c r="B8" s="214"/>
      <c r="C8" s="215">
        <f>+DENSIDADES!E11+1</f>
        <v>45888</v>
      </c>
      <c r="D8" s="216"/>
      <c r="E8" s="216"/>
      <c r="F8" s="216"/>
      <c r="G8" s="216"/>
      <c r="H8" s="216"/>
      <c r="I8" s="21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 t="s">
        <v>2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35.1" customHeight="1">
      <c r="A9" s="218" t="s">
        <v>16</v>
      </c>
      <c r="B9" s="219"/>
      <c r="C9" s="220" t="s">
        <v>17</v>
      </c>
      <c r="D9" s="221"/>
      <c r="E9" s="221"/>
      <c r="F9" s="221"/>
      <c r="G9" s="221"/>
      <c r="H9" s="221"/>
      <c r="I9" s="22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ht="39.75" customHeight="1">
      <c r="A10" s="223" t="s">
        <v>18</v>
      </c>
      <c r="B10" s="224"/>
      <c r="C10" s="224"/>
      <c r="D10" s="224"/>
      <c r="E10" s="224"/>
      <c r="F10" s="224"/>
      <c r="G10" s="224"/>
      <c r="H10" s="224"/>
      <c r="I10" s="22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20"/>
      <c r="AF10" s="20"/>
      <c r="AG10" s="20"/>
      <c r="AH10" s="20"/>
      <c r="AI10" s="20"/>
      <c r="AJ10" s="20"/>
      <c r="AK10" s="21"/>
    </row>
    <row r="11" spans="1:37" ht="9.75" customHeight="1">
      <c r="A11" s="208"/>
      <c r="B11" s="175"/>
      <c r="C11" s="175"/>
      <c r="D11" s="175"/>
      <c r="E11" s="175"/>
      <c r="F11" s="175"/>
      <c r="G11" s="175"/>
      <c r="H11" s="175"/>
      <c r="I11" s="17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ht="35.1" customHeight="1">
      <c r="A12" s="209" t="s">
        <v>19</v>
      </c>
      <c r="B12" s="178"/>
      <c r="C12" s="178"/>
      <c r="D12" s="178"/>
      <c r="E12" s="178"/>
      <c r="F12" s="178"/>
      <c r="G12" s="184"/>
      <c r="H12" s="22" t="s">
        <v>20</v>
      </c>
      <c r="I12" s="23">
        <f>PROCTOR!AF42</f>
        <v>1905.9957039150818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ht="35.1" customHeight="1">
      <c r="A13" s="185"/>
      <c r="B13" s="186"/>
      <c r="C13" s="186"/>
      <c r="D13" s="186"/>
      <c r="E13" s="186"/>
      <c r="F13" s="186"/>
      <c r="G13" s="187"/>
      <c r="H13" s="22" t="s">
        <v>21</v>
      </c>
      <c r="I13" s="24">
        <f>PROCTOR!AF43</f>
        <v>118.98744972457288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ht="35.1" customHeight="1">
      <c r="A14" s="210" t="s">
        <v>113</v>
      </c>
      <c r="B14" s="175"/>
      <c r="C14" s="175"/>
      <c r="D14" s="175"/>
      <c r="E14" s="175"/>
      <c r="F14" s="175"/>
      <c r="G14" s="205"/>
      <c r="H14" s="22" t="s">
        <v>22</v>
      </c>
      <c r="I14" s="24">
        <f>PROCTOR!AF44*100</f>
        <v>8.1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ht="9.75" customHeight="1">
      <c r="A15" s="211"/>
      <c r="B15" s="175"/>
      <c r="C15" s="175"/>
      <c r="D15" s="175"/>
      <c r="E15" s="175"/>
      <c r="F15" s="175"/>
      <c r="G15" s="205"/>
      <c r="H15" s="25"/>
      <c r="I15" s="2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 ht="35.1" customHeight="1">
      <c r="A16" s="212" t="s">
        <v>23</v>
      </c>
      <c r="B16" s="175"/>
      <c r="C16" s="175"/>
      <c r="D16" s="175"/>
      <c r="E16" s="175"/>
      <c r="F16" s="175"/>
      <c r="G16" s="205"/>
      <c r="H16" s="27"/>
      <c r="I16" s="2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ht="43.5" customHeight="1">
      <c r="A17" s="204" t="s">
        <v>24</v>
      </c>
      <c r="B17" s="175"/>
      <c r="C17" s="205"/>
      <c r="D17" s="206" t="s">
        <v>25</v>
      </c>
      <c r="E17" s="175"/>
      <c r="F17" s="205"/>
      <c r="G17" s="126" t="s">
        <v>105</v>
      </c>
      <c r="H17" s="22"/>
      <c r="I17" s="2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ht="9.75" customHeight="1">
      <c r="A18" s="174"/>
      <c r="B18" s="175"/>
      <c r="C18" s="175"/>
      <c r="D18" s="175"/>
      <c r="E18" s="175"/>
      <c r="F18" s="175"/>
      <c r="G18" s="175"/>
      <c r="H18" s="175"/>
      <c r="I18" s="176"/>
      <c r="J18" s="5"/>
      <c r="K18" s="5"/>
      <c r="L18" s="5"/>
      <c r="M18" s="5" cm="1">
        <f t="array" ref="M18:T18">-'INFORME1 (2)'!L13:S13</f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ht="35.1" customHeight="1">
      <c r="A19" s="183">
        <f>DENSIDADES!D11</f>
        <v>45880</v>
      </c>
      <c r="B19" s="178"/>
      <c r="C19" s="184"/>
      <c r="D19" s="207" t="str">
        <f>C9</f>
        <v>BASE GRANULAR</v>
      </c>
      <c r="E19" s="178"/>
      <c r="F19" s="184"/>
      <c r="G19" s="190" t="str">
        <f>DENSIDADES!D13</f>
        <v>DERECHO</v>
      </c>
      <c r="H19" s="112" t="s">
        <v>26</v>
      </c>
      <c r="I19" s="30">
        <f>DENSIDADES!D29</f>
        <v>8.6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ht="35.1" customHeight="1">
      <c r="A20" s="185"/>
      <c r="B20" s="186"/>
      <c r="C20" s="187"/>
      <c r="D20" s="189"/>
      <c r="E20" s="186"/>
      <c r="F20" s="187"/>
      <c r="G20" s="191"/>
      <c r="H20" s="31" t="s">
        <v>27</v>
      </c>
      <c r="I20" s="30">
        <f>DENSIDADES!D33</f>
        <v>97.712671945761329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ht="9.75" customHeight="1">
      <c r="A21" s="174"/>
      <c r="B21" s="175"/>
      <c r="C21" s="175"/>
      <c r="D21" s="175"/>
      <c r="E21" s="175"/>
      <c r="F21" s="175"/>
      <c r="G21" s="175"/>
      <c r="H21" s="175"/>
      <c r="I21" s="17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ht="35.1" customHeight="1">
      <c r="A22" s="183">
        <f>DENSIDADES!E11</f>
        <v>45887</v>
      </c>
      <c r="B22" s="178"/>
      <c r="C22" s="178"/>
      <c r="D22" s="188" t="str">
        <f>C9</f>
        <v>BASE GRANULAR</v>
      </c>
      <c r="E22" s="178"/>
      <c r="F22" s="184"/>
      <c r="G22" s="190" t="str">
        <f>DENSIDADES!E13</f>
        <v>CENTRO</v>
      </c>
      <c r="H22" s="112" t="s">
        <v>26</v>
      </c>
      <c r="I22" s="30">
        <f>DENSIDADES!E29</f>
        <v>8.4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ht="35.1" customHeight="1">
      <c r="A23" s="185"/>
      <c r="B23" s="186"/>
      <c r="C23" s="186"/>
      <c r="D23" s="189"/>
      <c r="E23" s="186"/>
      <c r="F23" s="187"/>
      <c r="G23" s="191"/>
      <c r="H23" s="31" t="s">
        <v>27</v>
      </c>
      <c r="I23" s="30">
        <f>DENSIDADES!E33</f>
        <v>98.113459916071349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ht="9.75" customHeight="1">
      <c r="A24" s="174"/>
      <c r="B24" s="175"/>
      <c r="C24" s="175"/>
      <c r="D24" s="175"/>
      <c r="E24" s="175"/>
      <c r="F24" s="175"/>
      <c r="G24" s="175"/>
      <c r="H24" s="175"/>
      <c r="I24" s="17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ht="15.75" customHeight="1">
      <c r="A25" s="177" t="s">
        <v>28</v>
      </c>
      <c r="B25" s="178"/>
      <c r="C25" s="192"/>
      <c r="D25" s="178"/>
      <c r="E25" s="178"/>
      <c r="F25" s="178"/>
      <c r="G25" s="178"/>
      <c r="H25" s="178"/>
      <c r="I25" s="19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ht="15.75" customHeight="1">
      <c r="A26" s="179"/>
      <c r="B26" s="180"/>
      <c r="C26" s="137"/>
      <c r="D26" s="137"/>
      <c r="E26" s="137"/>
      <c r="F26" s="137"/>
      <c r="G26" s="137"/>
      <c r="H26" s="137"/>
      <c r="I26" s="19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ht="15.75" customHeight="1">
      <c r="A27" s="195" t="str">
        <f>'INFORME1 (2)'!B26</f>
        <v>CHEQUEO DE COMPACTACIÓN EN CAPA DE BASE GRANULAR</v>
      </c>
      <c r="B27" s="196"/>
      <c r="C27" s="196"/>
      <c r="D27" s="196"/>
      <c r="E27" s="196"/>
      <c r="F27" s="196"/>
      <c r="G27" s="196"/>
      <c r="H27" s="196"/>
      <c r="I27" s="19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ht="15.75" customHeight="1">
      <c r="A28" s="198"/>
      <c r="B28" s="199"/>
      <c r="C28" s="199"/>
      <c r="D28" s="199"/>
      <c r="E28" s="199"/>
      <c r="F28" s="199"/>
      <c r="G28" s="199"/>
      <c r="H28" s="199"/>
      <c r="I28" s="20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ht="15.75" customHeight="1">
      <c r="A29" s="201"/>
      <c r="B29" s="202"/>
      <c r="C29" s="202"/>
      <c r="D29" s="202"/>
      <c r="E29" s="202"/>
      <c r="F29" s="202"/>
      <c r="G29" s="202"/>
      <c r="H29" s="202"/>
      <c r="I29" s="20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 ht="21" customHeight="1">
      <c r="A36" s="181" t="s">
        <v>7</v>
      </c>
      <c r="B36" s="146"/>
      <c r="C36" s="122"/>
      <c r="D36" s="127"/>
      <c r="E36" s="122"/>
      <c r="F36" s="122"/>
      <c r="G36" s="122"/>
      <c r="H36" s="181" t="s">
        <v>8</v>
      </c>
      <c r="I36" s="146"/>
      <c r="J36" s="1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ht="24" customHeight="1">
      <c r="A37" s="182" t="s">
        <v>9</v>
      </c>
      <c r="B37" s="139"/>
      <c r="C37" s="127"/>
      <c r="D37" s="122"/>
      <c r="E37" s="122"/>
      <c r="F37" s="122"/>
      <c r="G37" s="122"/>
      <c r="H37" s="122"/>
      <c r="I37" s="12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ht="15.75" customHeight="1">
      <c r="A38" s="122"/>
      <c r="B38" s="122"/>
      <c r="C38" s="122"/>
      <c r="D38" s="122"/>
      <c r="E38" s="122"/>
      <c r="F38" s="122"/>
      <c r="G38" s="122"/>
      <c r="H38" s="122"/>
      <c r="I38" s="12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1:37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1:37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1:37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1:37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1:37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1:37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1:37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1:37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1:37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1:37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1:37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1: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1:37" ht="15.75" customHeight="1"/>
    <row r="239" spans="1:37" ht="15.75" customHeight="1"/>
    <row r="240" spans="1:3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M6:V6"/>
    <mergeCell ref="M7:V7"/>
    <mergeCell ref="A1:B3"/>
    <mergeCell ref="C3:H3"/>
    <mergeCell ref="A4:B4"/>
    <mergeCell ref="C4:I4"/>
    <mergeCell ref="C5:I5"/>
    <mergeCell ref="M5:V5"/>
    <mergeCell ref="A5:B5"/>
    <mergeCell ref="A6:B6"/>
    <mergeCell ref="C6:I6"/>
    <mergeCell ref="A7:B7"/>
    <mergeCell ref="C7:I7"/>
    <mergeCell ref="C1:H1"/>
    <mergeCell ref="C2:H2"/>
    <mergeCell ref="A8:B8"/>
    <mergeCell ref="C8:I8"/>
    <mergeCell ref="A9:B9"/>
    <mergeCell ref="C9:I9"/>
    <mergeCell ref="A10:I10"/>
    <mergeCell ref="A11:I11"/>
    <mergeCell ref="A12:G13"/>
    <mergeCell ref="A14:G14"/>
    <mergeCell ref="A15:G15"/>
    <mergeCell ref="A16:G16"/>
    <mergeCell ref="A17:C17"/>
    <mergeCell ref="D17:F17"/>
    <mergeCell ref="A18:I18"/>
    <mergeCell ref="D19:F20"/>
    <mergeCell ref="G19:G20"/>
    <mergeCell ref="A21:I21"/>
    <mergeCell ref="A25:B26"/>
    <mergeCell ref="A36:B36"/>
    <mergeCell ref="A37:B37"/>
    <mergeCell ref="A19:C20"/>
    <mergeCell ref="A22:C23"/>
    <mergeCell ref="D22:F23"/>
    <mergeCell ref="G22:G23"/>
    <mergeCell ref="A24:I24"/>
    <mergeCell ref="C25:I26"/>
    <mergeCell ref="A27:I29"/>
    <mergeCell ref="H36:I36"/>
  </mergeCells>
  <printOptions horizontalCentered="1" verticalCentered="1"/>
  <pageMargins left="0.51181102362204722" right="0.19685039370078741" top="0" bottom="0.55118110236220474" header="0" footer="0"/>
  <pageSetup scale="75" orientation="portrait" horizontalDpi="360" verticalDpi="360" r:id="rId1"/>
  <headerFooter>
    <oddFooter>&amp;C_________________________________________________________________________________________________________
&amp;12 &amp;K0020601a. Avenida 8-34 Residenciales Joya De Palencia, Palencia, Guatemala. Tels. 54733871 &amp;K01+000/ 4020-2271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G1000"/>
  <sheetViews>
    <sheetView showGridLines="0" topLeftCell="A4" zoomScaleNormal="100" workbookViewId="0">
      <selection activeCell="O22" sqref="O22"/>
    </sheetView>
  </sheetViews>
  <sheetFormatPr baseColWidth="10" defaultColWidth="12.625" defaultRowHeight="15" customHeight="1"/>
  <cols>
    <col min="1" max="1" width="2.25" customWidth="1"/>
    <col min="2" max="7" width="2.625" customWidth="1"/>
    <col min="8" max="8" width="3.625" customWidth="1"/>
    <col min="9" max="9" width="5.875" customWidth="1"/>
    <col min="10" max="12" width="2.625" customWidth="1"/>
    <col min="13" max="13" width="5.875" customWidth="1"/>
    <col min="14" max="25" width="2.625" customWidth="1"/>
    <col min="26" max="26" width="5.75" customWidth="1"/>
    <col min="27" max="29" width="2.625" customWidth="1"/>
    <col min="30" max="30" width="6" customWidth="1"/>
    <col min="31" max="31" width="4.625" customWidth="1"/>
    <col min="32" max="36" width="2.625" customWidth="1"/>
    <col min="37" max="37" width="4.875" customWidth="1"/>
    <col min="38" max="39" width="2.375" customWidth="1"/>
    <col min="40" max="40" width="3.875" customWidth="1"/>
    <col min="41" max="41" width="5.625" customWidth="1"/>
    <col min="42" max="42" width="2.375" customWidth="1"/>
    <col min="43" max="43" width="4.625" customWidth="1"/>
    <col min="44" max="44" width="4.75" customWidth="1"/>
    <col min="45" max="53" width="2.375" customWidth="1"/>
    <col min="54" max="54" width="2.625" customWidth="1"/>
    <col min="55" max="55" width="2.375" customWidth="1"/>
    <col min="56" max="56" width="5.25" customWidth="1"/>
    <col min="57" max="59" width="2.375" customWidth="1"/>
  </cols>
  <sheetData>
    <row r="1" spans="1:59" ht="18.75" customHeight="1">
      <c r="A1" s="33"/>
      <c r="B1" s="340" t="s">
        <v>29</v>
      </c>
      <c r="C1" s="224"/>
      <c r="D1" s="224"/>
      <c r="E1" s="224"/>
      <c r="F1" s="224"/>
      <c r="G1" s="224"/>
      <c r="H1" s="224"/>
      <c r="I1" s="230"/>
      <c r="J1" s="349" t="s">
        <v>11</v>
      </c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116"/>
      <c r="AF1" s="341"/>
      <c r="AG1" s="224"/>
      <c r="AH1" s="224"/>
      <c r="AI1" s="224"/>
      <c r="AJ1" s="224"/>
      <c r="AK1" s="225"/>
      <c r="AL1" s="34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5"/>
      <c r="AY1" s="35"/>
      <c r="AZ1" s="35"/>
      <c r="BA1" s="35"/>
      <c r="BB1" s="35"/>
      <c r="BC1" s="35"/>
      <c r="BD1" s="33"/>
      <c r="BE1" s="33"/>
      <c r="BF1" s="33"/>
      <c r="BG1" s="33"/>
    </row>
    <row r="2" spans="1:59" ht="14.25" customHeight="1">
      <c r="A2" s="33"/>
      <c r="B2" s="231"/>
      <c r="C2" s="137"/>
      <c r="D2" s="137"/>
      <c r="E2" s="137"/>
      <c r="F2" s="137"/>
      <c r="G2" s="137"/>
      <c r="H2" s="137"/>
      <c r="I2" s="232"/>
      <c r="J2" s="351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117"/>
      <c r="AF2" s="342"/>
      <c r="AG2" s="137"/>
      <c r="AH2" s="137"/>
      <c r="AI2" s="137"/>
      <c r="AJ2" s="137"/>
      <c r="AK2" s="194"/>
      <c r="AL2" s="34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6"/>
      <c r="AY2" s="36"/>
      <c r="AZ2" s="36"/>
      <c r="BA2" s="36"/>
      <c r="BB2" s="36"/>
      <c r="BC2" s="36"/>
      <c r="BD2" s="33"/>
      <c r="BE2" s="33"/>
      <c r="BF2" s="33"/>
      <c r="BG2" s="33"/>
    </row>
    <row r="3" spans="1:59" ht="21.75" customHeight="1">
      <c r="A3" s="33"/>
      <c r="B3" s="231"/>
      <c r="C3" s="137"/>
      <c r="D3" s="137"/>
      <c r="E3" s="137"/>
      <c r="F3" s="137"/>
      <c r="G3" s="137"/>
      <c r="H3" s="137"/>
      <c r="I3" s="232"/>
      <c r="J3" s="353" t="str">
        <f>INFORME!C2</f>
        <v>Estudio de Suelos, Asfalto y concreto</v>
      </c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118"/>
      <c r="AF3" s="342"/>
      <c r="AG3" s="137"/>
      <c r="AH3" s="137"/>
      <c r="AI3" s="137"/>
      <c r="AJ3" s="137"/>
      <c r="AK3" s="194"/>
      <c r="AL3" s="34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7"/>
      <c r="AY3" s="37"/>
      <c r="AZ3" s="37"/>
      <c r="BA3" s="37"/>
      <c r="BB3" s="37"/>
      <c r="BC3" s="37"/>
      <c r="BD3" s="33"/>
      <c r="BE3" s="33"/>
      <c r="BF3" s="33"/>
      <c r="BG3" s="33"/>
    </row>
    <row r="4" spans="1:59" ht="20.25" customHeight="1">
      <c r="A4" s="33"/>
      <c r="B4" s="185"/>
      <c r="C4" s="186"/>
      <c r="D4" s="186"/>
      <c r="E4" s="186"/>
      <c r="F4" s="186"/>
      <c r="G4" s="186"/>
      <c r="H4" s="186"/>
      <c r="I4" s="187"/>
      <c r="J4" s="345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  <c r="AD4" s="346"/>
      <c r="AE4" s="347"/>
      <c r="AF4" s="343"/>
      <c r="AG4" s="186"/>
      <c r="AH4" s="186"/>
      <c r="AI4" s="186"/>
      <c r="AJ4" s="186"/>
      <c r="AK4" s="344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7"/>
      <c r="AY4" s="37"/>
      <c r="AZ4" s="37"/>
      <c r="BA4" s="37"/>
      <c r="BB4" s="37"/>
      <c r="BC4" s="37"/>
      <c r="BD4" s="33"/>
      <c r="BE4" s="33"/>
      <c r="BF4" s="33"/>
      <c r="BG4" s="33"/>
    </row>
    <row r="5" spans="1:59" ht="18" customHeight="1">
      <c r="A5" s="33"/>
      <c r="B5" s="348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6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</row>
    <row r="6" spans="1:59" ht="50.25" customHeight="1">
      <c r="A6" s="33"/>
      <c r="B6" s="329" t="s">
        <v>12</v>
      </c>
      <c r="C6" s="216"/>
      <c r="D6" s="216"/>
      <c r="E6" s="216"/>
      <c r="F6" s="216"/>
      <c r="G6" s="216"/>
      <c r="H6" s="216"/>
      <c r="I6" s="214"/>
      <c r="J6" s="330" t="str">
        <f>INFORME!C5</f>
        <v>MUNICIPALIDAD DE EL QUETZAL, SAN MARCOS</v>
      </c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7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30" hidden="1" customHeight="1">
      <c r="A7" s="33"/>
      <c r="B7" s="329" t="str">
        <f>INFORME!A6</f>
        <v>Empresa Ejecutora:</v>
      </c>
      <c r="C7" s="216"/>
      <c r="D7" s="216"/>
      <c r="E7" s="216"/>
      <c r="F7" s="216"/>
      <c r="G7" s="216"/>
      <c r="H7" s="216"/>
      <c r="I7" s="214"/>
      <c r="J7" s="332" t="str">
        <f>INFORME!C6</f>
        <v>CONSTRUCCIONES Y VENTA ADONAI</v>
      </c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  <c r="AC7" s="216"/>
      <c r="AD7" s="216"/>
      <c r="AE7" s="216"/>
      <c r="AF7" s="216"/>
      <c r="AG7" s="216"/>
      <c r="AH7" s="216"/>
      <c r="AI7" s="216"/>
      <c r="AJ7" s="216"/>
      <c r="AK7" s="217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7"/>
      <c r="AY7" s="37"/>
      <c r="AZ7" s="37"/>
      <c r="BA7" s="37"/>
      <c r="BB7" s="37"/>
      <c r="BC7" s="37"/>
      <c r="BD7" s="33"/>
      <c r="BE7" s="33"/>
      <c r="BF7" s="33"/>
      <c r="BG7" s="33"/>
    </row>
    <row r="8" spans="1:59" ht="70.5" customHeight="1">
      <c r="A8" s="33"/>
      <c r="B8" s="329" t="s">
        <v>14</v>
      </c>
      <c r="C8" s="216"/>
      <c r="D8" s="216"/>
      <c r="E8" s="216"/>
      <c r="F8" s="216"/>
      <c r="G8" s="216"/>
      <c r="H8" s="216"/>
      <c r="I8" s="214"/>
      <c r="J8" s="330" t="str">
        <f>INFORME!C7</f>
        <v>MEJORAMIENTO CAMINO RURAL ENTRADA PRINCIPAL, DEL PUENTE HACIA CASERIO VILLA NUEVA, MUNICIPIO DE EL QUETZAL, SAN MARCOS</v>
      </c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  <c r="AD8" s="216"/>
      <c r="AE8" s="216"/>
      <c r="AF8" s="216"/>
      <c r="AG8" s="216"/>
      <c r="AH8" s="216"/>
      <c r="AI8" s="216"/>
      <c r="AJ8" s="216"/>
      <c r="AK8" s="217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7"/>
      <c r="AY8" s="37"/>
      <c r="AZ8" s="37"/>
      <c r="BA8" s="37"/>
      <c r="BB8" s="37"/>
      <c r="BC8" s="37"/>
      <c r="BD8" s="33"/>
      <c r="BE8" s="33"/>
      <c r="BF8" s="33"/>
      <c r="BG8" s="33"/>
    </row>
    <row r="9" spans="1:59" ht="30" customHeight="1">
      <c r="A9" s="33"/>
      <c r="B9" s="329" t="s">
        <v>30</v>
      </c>
      <c r="C9" s="216"/>
      <c r="D9" s="216"/>
      <c r="E9" s="216"/>
      <c r="F9" s="216"/>
      <c r="G9" s="216"/>
      <c r="H9" s="216"/>
      <c r="I9" s="214"/>
      <c r="J9" s="331">
        <v>45880</v>
      </c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7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</row>
    <row r="10" spans="1:59" ht="30" customHeight="1">
      <c r="A10" s="33"/>
      <c r="B10" s="329" t="s">
        <v>16</v>
      </c>
      <c r="C10" s="216"/>
      <c r="D10" s="216"/>
      <c r="E10" s="216"/>
      <c r="F10" s="216"/>
      <c r="G10" s="216"/>
      <c r="H10" s="216"/>
      <c r="I10" s="214"/>
      <c r="J10" s="332" t="str">
        <f>INFORME!C9</f>
        <v>BASE GRANULAR</v>
      </c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7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</row>
    <row r="11" spans="1:59" ht="30" customHeight="1">
      <c r="A11" s="33"/>
      <c r="B11" s="333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6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</row>
    <row r="12" spans="1:59" ht="4.5" customHeight="1">
      <c r="A12" s="33"/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41"/>
      <c r="AL12" s="33"/>
      <c r="AM12" s="33"/>
      <c r="AN12" s="42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</row>
    <row r="13" spans="1:59" ht="14.25" customHeight="1">
      <c r="A13" s="33"/>
      <c r="B13" s="323" t="s">
        <v>31</v>
      </c>
      <c r="C13" s="324"/>
      <c r="D13" s="324"/>
      <c r="E13" s="324"/>
      <c r="F13" s="324"/>
      <c r="G13" s="324"/>
      <c r="H13" s="324"/>
      <c r="I13" s="324"/>
      <c r="J13" s="324"/>
      <c r="K13" s="324"/>
      <c r="L13" s="334" t="s">
        <v>32</v>
      </c>
      <c r="M13" s="324"/>
      <c r="N13" s="324"/>
      <c r="O13" s="324"/>
      <c r="P13" s="324"/>
      <c r="Q13" s="324"/>
      <c r="R13" s="324"/>
      <c r="S13" s="266"/>
      <c r="T13" s="335" t="s">
        <v>33</v>
      </c>
      <c r="U13" s="295"/>
      <c r="V13" s="295"/>
      <c r="W13" s="295"/>
      <c r="X13" s="295"/>
      <c r="Y13" s="336">
        <v>5</v>
      </c>
      <c r="Z13" s="295"/>
      <c r="AA13" s="337"/>
      <c r="AB13" s="338" t="s">
        <v>34</v>
      </c>
      <c r="AC13" s="324"/>
      <c r="AD13" s="324"/>
      <c r="AE13" s="324"/>
      <c r="AF13" s="324"/>
      <c r="AG13" s="324"/>
      <c r="AH13" s="266"/>
      <c r="AI13" s="339">
        <v>25</v>
      </c>
      <c r="AJ13" s="324"/>
      <c r="AK13" s="268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</row>
    <row r="14" spans="1:59" ht="14.25" customHeight="1">
      <c r="A14" s="33"/>
      <c r="B14" s="323" t="s">
        <v>35</v>
      </c>
      <c r="C14" s="324"/>
      <c r="D14" s="324"/>
      <c r="E14" s="324"/>
      <c r="F14" s="324"/>
      <c r="G14" s="324"/>
      <c r="H14" s="324"/>
      <c r="I14" s="324"/>
      <c r="J14" s="324"/>
      <c r="K14" s="324"/>
      <c r="L14" s="325">
        <v>944</v>
      </c>
      <c r="M14" s="324"/>
      <c r="N14" s="324"/>
      <c r="O14" s="324"/>
      <c r="P14" s="324"/>
      <c r="Q14" s="324"/>
      <c r="R14" s="324"/>
      <c r="S14" s="324"/>
      <c r="T14" s="326" t="s">
        <v>36</v>
      </c>
      <c r="U14" s="175"/>
      <c r="V14" s="175"/>
      <c r="W14" s="175"/>
      <c r="X14" s="175"/>
      <c r="Y14" s="175"/>
      <c r="Z14" s="175"/>
      <c r="AA14" s="175"/>
      <c r="AB14" s="175"/>
      <c r="AC14" s="175"/>
      <c r="AD14" s="327">
        <v>4275</v>
      </c>
      <c r="AE14" s="324"/>
      <c r="AF14" s="324"/>
      <c r="AG14" s="324"/>
      <c r="AH14" s="324"/>
      <c r="AI14" s="324"/>
      <c r="AJ14" s="324"/>
      <c r="AK14" s="268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</row>
    <row r="15" spans="1:59" ht="4.5" customHeight="1">
      <c r="A15" s="33"/>
      <c r="B15" s="4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41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</row>
    <row r="16" spans="1:59" ht="14.25" customHeight="1">
      <c r="A16" s="33"/>
      <c r="B16" s="328" t="s">
        <v>37</v>
      </c>
      <c r="C16" s="319"/>
      <c r="D16" s="319"/>
      <c r="E16" s="319"/>
      <c r="F16" s="319"/>
      <c r="G16" s="319"/>
      <c r="H16" s="319"/>
      <c r="I16" s="319"/>
      <c r="J16" s="319"/>
      <c r="K16" s="320"/>
      <c r="L16" s="318"/>
      <c r="M16" s="320"/>
      <c r="N16" s="318">
        <v>1</v>
      </c>
      <c r="O16" s="319"/>
      <c r="P16" s="319"/>
      <c r="Q16" s="320"/>
      <c r="R16" s="318">
        <v>2</v>
      </c>
      <c r="S16" s="319"/>
      <c r="T16" s="319"/>
      <c r="U16" s="320"/>
      <c r="V16" s="318">
        <v>3</v>
      </c>
      <c r="W16" s="319"/>
      <c r="X16" s="319"/>
      <c r="Y16" s="320"/>
      <c r="Z16" s="318">
        <v>4</v>
      </c>
      <c r="AA16" s="319"/>
      <c r="AB16" s="319"/>
      <c r="AC16" s="320"/>
      <c r="AD16" s="318">
        <v>5</v>
      </c>
      <c r="AE16" s="319"/>
      <c r="AF16" s="319"/>
      <c r="AG16" s="320"/>
      <c r="AH16" s="321"/>
      <c r="AI16" s="319"/>
      <c r="AJ16" s="319"/>
      <c r="AK16" s="322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</row>
    <row r="17" spans="1:59" ht="14.25" customHeight="1">
      <c r="A17" s="33"/>
      <c r="B17" s="305" t="s">
        <v>38</v>
      </c>
      <c r="C17" s="306"/>
      <c r="D17" s="306"/>
      <c r="E17" s="306"/>
      <c r="F17" s="306"/>
      <c r="G17" s="306"/>
      <c r="H17" s="306"/>
      <c r="I17" s="306"/>
      <c r="J17" s="306"/>
      <c r="K17" s="307"/>
      <c r="L17" s="308" t="s">
        <v>39</v>
      </c>
      <c r="M17" s="307"/>
      <c r="N17" s="308">
        <v>1</v>
      </c>
      <c r="O17" s="306"/>
      <c r="P17" s="306"/>
      <c r="Q17" s="307"/>
      <c r="R17" s="308">
        <v>1</v>
      </c>
      <c r="S17" s="306"/>
      <c r="T17" s="306"/>
      <c r="U17" s="307"/>
      <c r="V17" s="308">
        <v>1</v>
      </c>
      <c r="W17" s="306"/>
      <c r="X17" s="306"/>
      <c r="Y17" s="307"/>
      <c r="Z17" s="308">
        <v>1</v>
      </c>
      <c r="AA17" s="306"/>
      <c r="AB17" s="306"/>
      <c r="AC17" s="307"/>
      <c r="AD17" s="308">
        <v>1</v>
      </c>
      <c r="AE17" s="306"/>
      <c r="AF17" s="306"/>
      <c r="AG17" s="307"/>
      <c r="AH17" s="308"/>
      <c r="AI17" s="306"/>
      <c r="AJ17" s="306"/>
      <c r="AK17" s="31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</row>
    <row r="18" spans="1:59" ht="14.25" customHeight="1">
      <c r="A18" s="33"/>
      <c r="B18" s="305" t="s">
        <v>40</v>
      </c>
      <c r="C18" s="306"/>
      <c r="D18" s="306"/>
      <c r="E18" s="306"/>
      <c r="F18" s="306"/>
      <c r="G18" s="306"/>
      <c r="H18" s="306"/>
      <c r="I18" s="306"/>
      <c r="J18" s="306"/>
      <c r="K18" s="307"/>
      <c r="L18" s="308" t="s">
        <v>41</v>
      </c>
      <c r="M18" s="307"/>
      <c r="N18" s="317">
        <f>N27/100</f>
        <v>2.4E-2</v>
      </c>
      <c r="O18" s="306"/>
      <c r="P18" s="306"/>
      <c r="Q18" s="307"/>
      <c r="R18" s="317">
        <f>R27/100</f>
        <v>5.2999999999999999E-2</v>
      </c>
      <c r="S18" s="306"/>
      <c r="T18" s="306"/>
      <c r="U18" s="307"/>
      <c r="V18" s="317">
        <f>V27/100</f>
        <v>8.1000000000000003E-2</v>
      </c>
      <c r="W18" s="306"/>
      <c r="X18" s="306"/>
      <c r="Y18" s="307"/>
      <c r="Z18" s="317">
        <f>Z27/100</f>
        <v>0.10800000000000001</v>
      </c>
      <c r="AA18" s="306"/>
      <c r="AB18" s="306"/>
      <c r="AC18" s="307"/>
      <c r="AD18" s="317">
        <f>AD27/100</f>
        <v>0.13600000000000001</v>
      </c>
      <c r="AE18" s="306"/>
      <c r="AF18" s="306"/>
      <c r="AG18" s="307"/>
      <c r="AH18" s="317"/>
      <c r="AI18" s="306"/>
      <c r="AJ18" s="306"/>
      <c r="AK18" s="31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</row>
    <row r="19" spans="1:59" ht="14.25" customHeight="1">
      <c r="A19" s="33"/>
      <c r="B19" s="305" t="s">
        <v>42</v>
      </c>
      <c r="C19" s="306"/>
      <c r="D19" s="306"/>
      <c r="E19" s="306"/>
      <c r="F19" s="306"/>
      <c r="G19" s="306"/>
      <c r="H19" s="306"/>
      <c r="I19" s="306"/>
      <c r="J19" s="306"/>
      <c r="K19" s="307"/>
      <c r="L19" s="308" t="s">
        <v>41</v>
      </c>
      <c r="M19" s="307"/>
      <c r="N19" s="317">
        <f>N27/100</f>
        <v>2.4E-2</v>
      </c>
      <c r="O19" s="306"/>
      <c r="P19" s="306"/>
      <c r="Q19" s="307"/>
      <c r="R19" s="317">
        <f>N27/100</f>
        <v>2.4E-2</v>
      </c>
      <c r="S19" s="306"/>
      <c r="T19" s="306"/>
      <c r="U19" s="307"/>
      <c r="V19" s="317">
        <f>N27/100</f>
        <v>2.4E-2</v>
      </c>
      <c r="W19" s="306"/>
      <c r="X19" s="306"/>
      <c r="Y19" s="307"/>
      <c r="Z19" s="317">
        <f>N27/100</f>
        <v>2.4E-2</v>
      </c>
      <c r="AA19" s="306"/>
      <c r="AB19" s="306"/>
      <c r="AC19" s="307"/>
      <c r="AD19" s="317">
        <f>R27/100</f>
        <v>5.2999999999999999E-2</v>
      </c>
      <c r="AE19" s="306"/>
      <c r="AF19" s="306"/>
      <c r="AG19" s="307"/>
      <c r="AH19" s="317"/>
      <c r="AI19" s="306"/>
      <c r="AJ19" s="306"/>
      <c r="AK19" s="31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</row>
    <row r="20" spans="1:59" ht="14.25" customHeight="1">
      <c r="A20" s="33"/>
      <c r="B20" s="305" t="s">
        <v>43</v>
      </c>
      <c r="C20" s="306"/>
      <c r="D20" s="306"/>
      <c r="E20" s="306"/>
      <c r="F20" s="306"/>
      <c r="G20" s="306"/>
      <c r="H20" s="306"/>
      <c r="I20" s="306"/>
      <c r="J20" s="306"/>
      <c r="K20" s="307"/>
      <c r="L20" s="308" t="s">
        <v>41</v>
      </c>
      <c r="M20" s="307"/>
      <c r="N20" s="317">
        <f>IF(OR(N18="",N19=""),"",N18-N19)</f>
        <v>0</v>
      </c>
      <c r="O20" s="306"/>
      <c r="P20" s="306"/>
      <c r="Q20" s="307"/>
      <c r="R20" s="317">
        <f>IF(OR(R18="",R19=""),"",R18-R19)</f>
        <v>2.8999999999999998E-2</v>
      </c>
      <c r="S20" s="306"/>
      <c r="T20" s="306"/>
      <c r="U20" s="307"/>
      <c r="V20" s="317">
        <f>IF(OR(V18="",V19=""),"",V18-V19)</f>
        <v>5.7000000000000002E-2</v>
      </c>
      <c r="W20" s="306"/>
      <c r="X20" s="306"/>
      <c r="Y20" s="307"/>
      <c r="Z20" s="317">
        <f>IF(OR(Z18="",Z19=""),"",Z18-Z19)</f>
        <v>8.4000000000000019E-2</v>
      </c>
      <c r="AA20" s="306"/>
      <c r="AB20" s="306"/>
      <c r="AC20" s="307"/>
      <c r="AD20" s="317">
        <f>IF(OR(AD18="",AD19=""),"",AD18-AD19)</f>
        <v>8.3000000000000018E-2</v>
      </c>
      <c r="AE20" s="306"/>
      <c r="AF20" s="306"/>
      <c r="AG20" s="307"/>
      <c r="AH20" s="317" t="str">
        <f>IF(OR(AH18="",AH19=""),"",AH18-AH19)</f>
        <v/>
      </c>
      <c r="AI20" s="306"/>
      <c r="AJ20" s="306"/>
      <c r="AK20" s="31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</row>
    <row r="21" spans="1:59" ht="14.25" customHeight="1">
      <c r="A21" s="33"/>
      <c r="B21" s="305" t="s">
        <v>44</v>
      </c>
      <c r="C21" s="306"/>
      <c r="D21" s="306"/>
      <c r="E21" s="306"/>
      <c r="F21" s="306"/>
      <c r="G21" s="306"/>
      <c r="H21" s="306"/>
      <c r="I21" s="306"/>
      <c r="J21" s="306"/>
      <c r="K21" s="307"/>
      <c r="L21" s="308" t="s">
        <v>45</v>
      </c>
      <c r="M21" s="307"/>
      <c r="N21" s="309">
        <v>3000</v>
      </c>
      <c r="O21" s="306"/>
      <c r="P21" s="306"/>
      <c r="Q21" s="307"/>
      <c r="R21" s="309">
        <f>N21</f>
        <v>3000</v>
      </c>
      <c r="S21" s="306"/>
      <c r="T21" s="306"/>
      <c r="U21" s="307"/>
      <c r="V21" s="309">
        <f>R21</f>
        <v>3000</v>
      </c>
      <c r="W21" s="306"/>
      <c r="X21" s="306"/>
      <c r="Y21" s="307"/>
      <c r="Z21" s="309">
        <f>V21</f>
        <v>3000</v>
      </c>
      <c r="AA21" s="306"/>
      <c r="AB21" s="306"/>
      <c r="AC21" s="307"/>
      <c r="AD21" s="309">
        <f>Z21</f>
        <v>3000</v>
      </c>
      <c r="AE21" s="306"/>
      <c r="AF21" s="306"/>
      <c r="AG21" s="307"/>
      <c r="AH21" s="309"/>
      <c r="AI21" s="306"/>
      <c r="AJ21" s="306"/>
      <c r="AK21" s="31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44"/>
      <c r="AZ21" s="33"/>
      <c r="BA21" s="33"/>
      <c r="BB21" s="33"/>
      <c r="BC21" s="33"/>
      <c r="BD21" s="33"/>
      <c r="BE21" s="33"/>
      <c r="BF21" s="33"/>
      <c r="BG21" s="33"/>
    </row>
    <row r="22" spans="1:59" ht="14.25" customHeight="1">
      <c r="A22" s="33"/>
      <c r="B22" s="305" t="s">
        <v>46</v>
      </c>
      <c r="C22" s="306"/>
      <c r="D22" s="306"/>
      <c r="E22" s="306"/>
      <c r="F22" s="306"/>
      <c r="G22" s="306"/>
      <c r="H22" s="306"/>
      <c r="I22" s="306"/>
      <c r="J22" s="306"/>
      <c r="K22" s="307"/>
      <c r="L22" s="308" t="s">
        <v>45</v>
      </c>
      <c r="M22" s="307"/>
      <c r="N22" s="314">
        <f>IF(OR(N19="",N21=""),"",N21/(1+N19))</f>
        <v>2929.6875</v>
      </c>
      <c r="O22" s="306"/>
      <c r="P22" s="306"/>
      <c r="Q22" s="307"/>
      <c r="R22" s="314">
        <f>IF(OR(R19="",R21=""),"",R21/(1+R19))</f>
        <v>2929.6875</v>
      </c>
      <c r="S22" s="306"/>
      <c r="T22" s="306"/>
      <c r="U22" s="307"/>
      <c r="V22" s="314">
        <f>IF(OR(V19="",V21=""),"",V21/(1+V19))</f>
        <v>2929.6875</v>
      </c>
      <c r="W22" s="306"/>
      <c r="X22" s="306"/>
      <c r="Y22" s="307"/>
      <c r="Z22" s="314">
        <f>IF(OR(Z19="",Z21=""),"",Z21/(1+Z19))</f>
        <v>2929.6875</v>
      </c>
      <c r="AA22" s="306"/>
      <c r="AB22" s="306"/>
      <c r="AC22" s="307"/>
      <c r="AD22" s="314">
        <f>IF(OR(AD19="",AD21=""),"",AD21/(1+AD19))</f>
        <v>2849.002849002849</v>
      </c>
      <c r="AE22" s="306"/>
      <c r="AF22" s="306"/>
      <c r="AG22" s="307"/>
      <c r="AH22" s="314" t="str">
        <f>IF(OR(AH19="",AH21=""),"",AH21/(1+AH19))</f>
        <v/>
      </c>
      <c r="AI22" s="306"/>
      <c r="AJ22" s="306"/>
      <c r="AK22" s="31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</row>
    <row r="23" spans="1:59" ht="14.25" customHeight="1">
      <c r="A23" s="33"/>
      <c r="B23" s="305" t="s">
        <v>47</v>
      </c>
      <c r="C23" s="306"/>
      <c r="D23" s="306"/>
      <c r="E23" s="306"/>
      <c r="F23" s="306"/>
      <c r="G23" s="306"/>
      <c r="H23" s="306"/>
      <c r="I23" s="306"/>
      <c r="J23" s="306"/>
      <c r="K23" s="307"/>
      <c r="L23" s="308" t="s">
        <v>48</v>
      </c>
      <c r="M23" s="307"/>
      <c r="N23" s="314">
        <f>IF(OR(N20="",N22=""),"",N20*N22)</f>
        <v>0</v>
      </c>
      <c r="O23" s="306"/>
      <c r="P23" s="306"/>
      <c r="Q23" s="307"/>
      <c r="R23" s="314">
        <f>IF(OR(R20="",R22=""),"",R20*R22)</f>
        <v>84.9609375</v>
      </c>
      <c r="S23" s="306"/>
      <c r="T23" s="306"/>
      <c r="U23" s="307"/>
      <c r="V23" s="314">
        <f>IF(OR(V20="",V22=""),"",V20*V22)</f>
        <v>166.9921875</v>
      </c>
      <c r="W23" s="306"/>
      <c r="X23" s="306"/>
      <c r="Y23" s="307"/>
      <c r="Z23" s="314">
        <f>IF(OR(Z20="",Z22=""),"",Z20*Z22)</f>
        <v>246.09375000000006</v>
      </c>
      <c r="AA23" s="306"/>
      <c r="AB23" s="306"/>
      <c r="AC23" s="307"/>
      <c r="AD23" s="314">
        <f>IF(OR(AD20="",AD22=""),"",AD20*AD22)</f>
        <v>236.46723646723652</v>
      </c>
      <c r="AE23" s="306"/>
      <c r="AF23" s="306"/>
      <c r="AG23" s="307"/>
      <c r="AH23" s="314" t="str">
        <f>IF(OR(AH20="",AH22=""),"",AH20*AH22)</f>
        <v/>
      </c>
      <c r="AI23" s="306"/>
      <c r="AJ23" s="306"/>
      <c r="AK23" s="315"/>
      <c r="AL23" s="33"/>
      <c r="AM23" s="33"/>
      <c r="AN23" s="45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</row>
    <row r="24" spans="1:59" ht="14.25" customHeight="1">
      <c r="A24" s="33"/>
      <c r="B24" s="305" t="s">
        <v>49</v>
      </c>
      <c r="C24" s="306"/>
      <c r="D24" s="306"/>
      <c r="E24" s="306"/>
      <c r="F24" s="306"/>
      <c r="G24" s="306"/>
      <c r="H24" s="306"/>
      <c r="I24" s="306"/>
      <c r="J24" s="306"/>
      <c r="K24" s="307"/>
      <c r="L24" s="308" t="s">
        <v>45</v>
      </c>
      <c r="M24" s="307"/>
      <c r="N24" s="316">
        <v>6029</v>
      </c>
      <c r="O24" s="306"/>
      <c r="P24" s="306"/>
      <c r="Q24" s="307"/>
      <c r="R24" s="316">
        <v>6125</v>
      </c>
      <c r="S24" s="306"/>
      <c r="T24" s="306"/>
      <c r="U24" s="307"/>
      <c r="V24" s="316">
        <v>6220</v>
      </c>
      <c r="W24" s="306"/>
      <c r="X24" s="306"/>
      <c r="Y24" s="307"/>
      <c r="Z24" s="316">
        <v>6218</v>
      </c>
      <c r="AA24" s="306"/>
      <c r="AB24" s="306"/>
      <c r="AC24" s="307"/>
      <c r="AD24" s="316">
        <v>6205</v>
      </c>
      <c r="AE24" s="306"/>
      <c r="AF24" s="306"/>
      <c r="AG24" s="307"/>
      <c r="AH24" s="309"/>
      <c r="AI24" s="306"/>
      <c r="AJ24" s="306"/>
      <c r="AK24" s="31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</row>
    <row r="25" spans="1:59" ht="14.25" customHeight="1">
      <c r="A25" s="33"/>
      <c r="B25" s="313" t="s">
        <v>50</v>
      </c>
      <c r="C25" s="311"/>
      <c r="D25" s="311"/>
      <c r="E25" s="311"/>
      <c r="F25" s="311"/>
      <c r="G25" s="311"/>
      <c r="H25" s="311"/>
      <c r="I25" s="311"/>
      <c r="J25" s="311"/>
      <c r="K25" s="302"/>
      <c r="L25" s="301" t="s">
        <v>45</v>
      </c>
      <c r="M25" s="302"/>
      <c r="N25" s="310">
        <f>IF(OR(N24="",$AD$14=""),"",(N24-$AD$14))</f>
        <v>1754</v>
      </c>
      <c r="O25" s="311"/>
      <c r="P25" s="311"/>
      <c r="Q25" s="302"/>
      <c r="R25" s="310">
        <f>IF(OR(R24="",$AD$14=""),"",(R24-$AD$14))</f>
        <v>1850</v>
      </c>
      <c r="S25" s="311"/>
      <c r="T25" s="311"/>
      <c r="U25" s="302"/>
      <c r="V25" s="310">
        <f>IF(OR(V24="",$AD$14=""),"",(V24-$AD$14))</f>
        <v>1945</v>
      </c>
      <c r="W25" s="311"/>
      <c r="X25" s="311"/>
      <c r="Y25" s="302"/>
      <c r="Z25" s="310">
        <f>IF(OR(Z24="",$AD$14=""),"",(Z24-$AD$14))</f>
        <v>1943</v>
      </c>
      <c r="AA25" s="311"/>
      <c r="AB25" s="311"/>
      <c r="AC25" s="302"/>
      <c r="AD25" s="310">
        <f>IF(OR(AD24="",$AD$14=""),"",(AD24-$AD$14))</f>
        <v>1930</v>
      </c>
      <c r="AE25" s="311"/>
      <c r="AF25" s="311"/>
      <c r="AG25" s="302"/>
      <c r="AH25" s="310" t="str">
        <f>IF(OR(AH24="",$AD$14=""),"",(AH24-$AD$14))</f>
        <v/>
      </c>
      <c r="AI25" s="311"/>
      <c r="AJ25" s="311"/>
      <c r="AK25" s="312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</row>
    <row r="26" spans="1:59" ht="4.5" customHeight="1">
      <c r="A26" s="33"/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8"/>
      <c r="M26" s="48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50"/>
      <c r="AL26" s="33"/>
      <c r="AM26" s="33"/>
      <c r="AN26" s="33"/>
      <c r="AO26" s="51"/>
      <c r="AP26" s="51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</row>
    <row r="27" spans="1:59" ht="14.25" customHeight="1">
      <c r="A27" s="33"/>
      <c r="B27" s="294" t="s">
        <v>51</v>
      </c>
      <c r="C27" s="295"/>
      <c r="D27" s="295"/>
      <c r="E27" s="295"/>
      <c r="F27" s="295"/>
      <c r="G27" s="295"/>
      <c r="H27" s="295"/>
      <c r="I27" s="295"/>
      <c r="J27" s="295"/>
      <c r="K27" s="296"/>
      <c r="L27" s="303" t="s">
        <v>41</v>
      </c>
      <c r="M27" s="273"/>
      <c r="N27" s="292">
        <f>R27-2.9</f>
        <v>2.4</v>
      </c>
      <c r="O27" s="272"/>
      <c r="P27" s="272"/>
      <c r="Q27" s="273"/>
      <c r="R27" s="292">
        <f>V27-2.8</f>
        <v>5.3</v>
      </c>
      <c r="S27" s="272"/>
      <c r="T27" s="272"/>
      <c r="U27" s="273"/>
      <c r="V27" s="304">
        <v>8.1</v>
      </c>
      <c r="W27" s="272"/>
      <c r="X27" s="272"/>
      <c r="Y27" s="273"/>
      <c r="Z27" s="292">
        <f>V27+2.7</f>
        <v>10.8</v>
      </c>
      <c r="AA27" s="272"/>
      <c r="AB27" s="272"/>
      <c r="AC27" s="273"/>
      <c r="AD27" s="292">
        <f>Z27+2.8</f>
        <v>13.600000000000001</v>
      </c>
      <c r="AE27" s="272"/>
      <c r="AF27" s="272"/>
      <c r="AG27" s="273"/>
      <c r="AH27" s="293" t="str">
        <f>IF(OR(AH28="",AH29="",AH30=""),"",((AH28-AH29)/(AH29-AH30))*100)</f>
        <v/>
      </c>
      <c r="AI27" s="272"/>
      <c r="AJ27" s="272"/>
      <c r="AK27" s="275"/>
      <c r="AL27" s="33"/>
      <c r="AM27" s="33"/>
      <c r="AN27" s="52">
        <f>N27</f>
        <v>2.4</v>
      </c>
      <c r="AO27" s="53">
        <f>N32</f>
        <v>1.8145027807203389</v>
      </c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</row>
    <row r="28" spans="1:59" ht="14.25" customHeight="1">
      <c r="A28" s="33"/>
      <c r="B28" s="231"/>
      <c r="C28" s="137"/>
      <c r="D28" s="137"/>
      <c r="E28" s="137"/>
      <c r="F28" s="137"/>
      <c r="G28" s="137"/>
      <c r="H28" s="137"/>
      <c r="I28" s="137"/>
      <c r="J28" s="137"/>
      <c r="K28" s="297"/>
      <c r="L28" s="276"/>
      <c r="M28" s="246"/>
      <c r="N28" s="283"/>
      <c r="O28" s="245"/>
      <c r="P28" s="245"/>
      <c r="Q28" s="246"/>
      <c r="R28" s="283"/>
      <c r="S28" s="245"/>
      <c r="T28" s="245"/>
      <c r="U28" s="246"/>
      <c r="V28" s="283"/>
      <c r="W28" s="245"/>
      <c r="X28" s="245"/>
      <c r="Y28" s="246"/>
      <c r="Z28" s="283"/>
      <c r="AA28" s="245"/>
      <c r="AB28" s="245"/>
      <c r="AC28" s="246"/>
      <c r="AD28" s="283"/>
      <c r="AE28" s="245"/>
      <c r="AF28" s="245"/>
      <c r="AG28" s="246"/>
      <c r="AH28" s="283"/>
      <c r="AI28" s="245"/>
      <c r="AJ28" s="245"/>
      <c r="AK28" s="248"/>
      <c r="AL28" s="33"/>
      <c r="AM28" s="33"/>
      <c r="AN28" s="52">
        <f>R27</f>
        <v>5.3</v>
      </c>
      <c r="AO28" s="53">
        <f>R32</f>
        <v>1.8611070870957875</v>
      </c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</row>
    <row r="29" spans="1:59" ht="14.25" customHeight="1">
      <c r="A29" s="33"/>
      <c r="B29" s="231"/>
      <c r="C29" s="137"/>
      <c r="D29" s="137"/>
      <c r="E29" s="137"/>
      <c r="F29" s="137"/>
      <c r="G29" s="137"/>
      <c r="H29" s="137"/>
      <c r="I29" s="137"/>
      <c r="J29" s="137"/>
      <c r="K29" s="297"/>
      <c r="L29" s="276"/>
      <c r="M29" s="246"/>
      <c r="N29" s="283"/>
      <c r="O29" s="245"/>
      <c r="P29" s="245"/>
      <c r="Q29" s="246"/>
      <c r="R29" s="283"/>
      <c r="S29" s="245"/>
      <c r="T29" s="245"/>
      <c r="U29" s="246"/>
      <c r="V29" s="283"/>
      <c r="W29" s="245"/>
      <c r="X29" s="245"/>
      <c r="Y29" s="246"/>
      <c r="Z29" s="283"/>
      <c r="AA29" s="245"/>
      <c r="AB29" s="245"/>
      <c r="AC29" s="246"/>
      <c r="AD29" s="283"/>
      <c r="AE29" s="245"/>
      <c r="AF29" s="245"/>
      <c r="AG29" s="246"/>
      <c r="AH29" s="283"/>
      <c r="AI29" s="245"/>
      <c r="AJ29" s="245"/>
      <c r="AK29" s="248"/>
      <c r="AL29" s="33"/>
      <c r="AM29" s="33"/>
      <c r="AN29" s="54">
        <f>V27</f>
        <v>8.1</v>
      </c>
      <c r="AO29" s="55">
        <f>V32</f>
        <v>1.9059957039150817</v>
      </c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ht="14.25" customHeight="1">
      <c r="A30" s="33"/>
      <c r="B30" s="298"/>
      <c r="C30" s="299"/>
      <c r="D30" s="299"/>
      <c r="E30" s="299"/>
      <c r="F30" s="299"/>
      <c r="G30" s="299"/>
      <c r="H30" s="299"/>
      <c r="I30" s="299"/>
      <c r="J30" s="299"/>
      <c r="K30" s="300"/>
      <c r="L30" s="276"/>
      <c r="M30" s="246"/>
      <c r="N30" s="283"/>
      <c r="O30" s="245"/>
      <c r="P30" s="245"/>
      <c r="Q30" s="246"/>
      <c r="R30" s="283"/>
      <c r="S30" s="245"/>
      <c r="T30" s="245"/>
      <c r="U30" s="246"/>
      <c r="V30" s="283"/>
      <c r="W30" s="245"/>
      <c r="X30" s="245"/>
      <c r="Y30" s="246"/>
      <c r="Z30" s="283"/>
      <c r="AA30" s="245"/>
      <c r="AB30" s="245"/>
      <c r="AC30" s="246"/>
      <c r="AD30" s="283"/>
      <c r="AE30" s="245"/>
      <c r="AF30" s="245"/>
      <c r="AG30" s="246"/>
      <c r="AH30" s="283"/>
      <c r="AI30" s="245"/>
      <c r="AJ30" s="245"/>
      <c r="AK30" s="248"/>
      <c r="AL30" s="33"/>
      <c r="AM30" s="33"/>
      <c r="AN30" s="52">
        <f>Z27</f>
        <v>10.8</v>
      </c>
      <c r="AO30" s="53">
        <f>Z32</f>
        <v>1.8576378265924249</v>
      </c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ht="14.25" customHeight="1">
      <c r="A31" s="33"/>
      <c r="B31" s="291" t="s">
        <v>52</v>
      </c>
      <c r="C31" s="245"/>
      <c r="D31" s="245"/>
      <c r="E31" s="245"/>
      <c r="F31" s="245"/>
      <c r="G31" s="245"/>
      <c r="H31" s="245"/>
      <c r="I31" s="245"/>
      <c r="J31" s="245"/>
      <c r="K31" s="246"/>
      <c r="L31" s="277" t="s">
        <v>53</v>
      </c>
      <c r="M31" s="246"/>
      <c r="N31" s="278">
        <f>IF(OR(N25="",$L$14=""),"",(N25/$L$14))</f>
        <v>1.8580508474576272</v>
      </c>
      <c r="O31" s="245"/>
      <c r="P31" s="245"/>
      <c r="Q31" s="246"/>
      <c r="R31" s="278">
        <f>IF(OR(R25="",$L$14=""),"",(R25/$L$14))</f>
        <v>1.9597457627118644</v>
      </c>
      <c r="S31" s="245"/>
      <c r="T31" s="245"/>
      <c r="U31" s="246"/>
      <c r="V31" s="279">
        <f>IF(OR(V25="",$L$14=""),"",(V25/$L$14))</f>
        <v>2.0603813559322033</v>
      </c>
      <c r="W31" s="245"/>
      <c r="X31" s="245"/>
      <c r="Y31" s="246"/>
      <c r="Z31" s="278">
        <f>IF(OR(Z25="",$L$14=""),"",(Z25/$L$14))</f>
        <v>2.0582627118644066</v>
      </c>
      <c r="AA31" s="245"/>
      <c r="AB31" s="245"/>
      <c r="AC31" s="246"/>
      <c r="AD31" s="278">
        <f>IF(OR(AD25="",$L$14=""),"",(AD25/$L$14))</f>
        <v>2.0444915254237288</v>
      </c>
      <c r="AE31" s="245"/>
      <c r="AF31" s="245"/>
      <c r="AG31" s="246"/>
      <c r="AH31" s="278" t="str">
        <f>IF(OR(AH25="",$L$14=""),"",(AH25/$L$14))</f>
        <v/>
      </c>
      <c r="AI31" s="245"/>
      <c r="AJ31" s="245"/>
      <c r="AK31" s="248"/>
      <c r="AL31" s="33"/>
      <c r="AM31" s="33"/>
      <c r="AN31" s="52">
        <f>AD27</f>
        <v>13.600000000000001</v>
      </c>
      <c r="AO31" s="53">
        <f>AD32</f>
        <v>1.7997284554786348</v>
      </c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</row>
    <row r="32" spans="1:59" ht="14.25" customHeight="1">
      <c r="A32" s="33"/>
      <c r="B32" s="291" t="s">
        <v>54</v>
      </c>
      <c r="C32" s="245"/>
      <c r="D32" s="245"/>
      <c r="E32" s="245"/>
      <c r="F32" s="245"/>
      <c r="G32" s="245"/>
      <c r="H32" s="245"/>
      <c r="I32" s="245"/>
      <c r="J32" s="245"/>
      <c r="K32" s="246"/>
      <c r="L32" s="277" t="s">
        <v>53</v>
      </c>
      <c r="M32" s="246"/>
      <c r="N32" s="278">
        <f>IF(OR(N27="",N31=""),"",N31/(N27+100)*100)</f>
        <v>1.8145027807203389</v>
      </c>
      <c r="O32" s="245"/>
      <c r="P32" s="245"/>
      <c r="Q32" s="246"/>
      <c r="R32" s="278">
        <f>IF(OR(R27="",R31=""),"",R31/(R27+100)*100)</f>
        <v>1.8611070870957875</v>
      </c>
      <c r="S32" s="245"/>
      <c r="T32" s="245"/>
      <c r="U32" s="246"/>
      <c r="V32" s="279">
        <f>IF(OR(V27="",V31=""),"",V31/(V27+100)*100)</f>
        <v>1.9059957039150817</v>
      </c>
      <c r="W32" s="245"/>
      <c r="X32" s="245"/>
      <c r="Y32" s="246"/>
      <c r="Z32" s="278">
        <f>IF(OR(Z27="",Z31=""),"",Z31/(Z27+100)*100)</f>
        <v>1.8576378265924249</v>
      </c>
      <c r="AA32" s="245"/>
      <c r="AB32" s="245"/>
      <c r="AC32" s="246"/>
      <c r="AD32" s="278">
        <f>IF(OR(AD27="",AD31=""),"",AD31/(AD27+100)*100)</f>
        <v>1.7997284554786348</v>
      </c>
      <c r="AE32" s="245"/>
      <c r="AF32" s="245"/>
      <c r="AG32" s="246"/>
      <c r="AH32" s="278" t="str">
        <f>IF(OR(AH27="",AH31=""),"",AH31/(AH27+100)*100)</f>
        <v/>
      </c>
      <c r="AI32" s="245"/>
      <c r="AJ32" s="245"/>
      <c r="AK32" s="248"/>
      <c r="AL32" s="33"/>
      <c r="AM32" s="33"/>
      <c r="AN32" s="56" t="str">
        <f>AH27</f>
        <v/>
      </c>
      <c r="AO32" s="57" t="str">
        <f>AH32</f>
        <v/>
      </c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</row>
    <row r="33" spans="1:59" ht="14.25" customHeight="1">
      <c r="A33" s="33"/>
      <c r="B33" s="280" t="s">
        <v>55</v>
      </c>
      <c r="C33" s="260"/>
      <c r="D33" s="260"/>
      <c r="E33" s="260"/>
      <c r="F33" s="260"/>
      <c r="G33" s="260"/>
      <c r="H33" s="260"/>
      <c r="I33" s="260"/>
      <c r="J33" s="260"/>
      <c r="K33" s="261"/>
      <c r="L33" s="281" t="s">
        <v>56</v>
      </c>
      <c r="M33" s="261"/>
      <c r="N33" s="262">
        <f>IF(N32="","",(N32/0.01601846))</f>
        <v>113.27573191931926</v>
      </c>
      <c r="O33" s="260"/>
      <c r="P33" s="260"/>
      <c r="Q33" s="261"/>
      <c r="R33" s="262">
        <f>IF(R32="","",(R32/0.01601846))</f>
        <v>116.18514433321226</v>
      </c>
      <c r="S33" s="260"/>
      <c r="T33" s="260"/>
      <c r="U33" s="261"/>
      <c r="V33" s="282">
        <f>IF(V32="","",(V32/0.01601846))</f>
        <v>118.98744972457287</v>
      </c>
      <c r="W33" s="260"/>
      <c r="X33" s="260"/>
      <c r="Y33" s="261"/>
      <c r="Z33" s="262">
        <f>IF(Z32="","",(Z32/0.01601846))</f>
        <v>115.96856542966208</v>
      </c>
      <c r="AA33" s="260"/>
      <c r="AB33" s="260"/>
      <c r="AC33" s="261"/>
      <c r="AD33" s="262">
        <f>IF(AD32="","",(AD32/0.01601846))</f>
        <v>112.3534007313209</v>
      </c>
      <c r="AE33" s="260"/>
      <c r="AF33" s="260"/>
      <c r="AG33" s="261"/>
      <c r="AH33" s="262" t="str">
        <f>IF(AH32="","",(AH32*62.4295974))</f>
        <v/>
      </c>
      <c r="AI33" s="260"/>
      <c r="AJ33" s="260"/>
      <c r="AK33" s="26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</row>
    <row r="34" spans="1:59" ht="4.5" customHeight="1">
      <c r="A34" s="33"/>
      <c r="B34" s="58"/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1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</row>
    <row r="35" spans="1:59" ht="14.25" customHeight="1">
      <c r="A35" s="33"/>
      <c r="B35" s="62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37"/>
      <c r="AB35" s="264" t="s">
        <v>57</v>
      </c>
      <c r="AC35" s="137"/>
      <c r="AD35" s="137"/>
      <c r="AE35" s="137"/>
      <c r="AF35" s="137"/>
      <c r="AG35" s="137"/>
      <c r="AH35" s="137"/>
      <c r="AI35" s="137"/>
      <c r="AJ35" s="137"/>
      <c r="AK35" s="64"/>
      <c r="AL35" s="33"/>
      <c r="AM35" s="65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</row>
    <row r="36" spans="1:59" ht="14.25" customHeight="1">
      <c r="A36" s="33"/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6" t="s">
        <v>58</v>
      </c>
      <c r="AB36" s="67"/>
      <c r="AC36" s="265" t="s">
        <v>59</v>
      </c>
      <c r="AD36" s="266"/>
      <c r="AE36" s="66" t="s">
        <v>60</v>
      </c>
      <c r="AF36" s="67"/>
      <c r="AG36" s="265" t="s">
        <v>61</v>
      </c>
      <c r="AH36" s="266"/>
      <c r="AI36" s="66" t="s">
        <v>62</v>
      </c>
      <c r="AJ36" s="267" t="s">
        <v>63</v>
      </c>
      <c r="AK36" s="268"/>
      <c r="AL36" s="68"/>
      <c r="AM36" s="68"/>
      <c r="AN36" s="68"/>
      <c r="AO36" s="33"/>
      <c r="AP36" s="33"/>
      <c r="AQ36" s="33"/>
      <c r="AR36" s="33"/>
      <c r="AS36" s="33"/>
      <c r="AT36" s="69"/>
      <c r="AU36" s="69"/>
      <c r="AV36" s="33"/>
      <c r="AW36" s="33"/>
      <c r="AX36" s="70"/>
      <c r="AY36" s="70"/>
      <c r="AZ36" s="70"/>
      <c r="BA36" s="269"/>
      <c r="BB36" s="137"/>
      <c r="BC36" s="137"/>
      <c r="BD36" s="33"/>
      <c r="BE36" s="33"/>
      <c r="BF36" s="33"/>
      <c r="BG36" s="33"/>
    </row>
    <row r="37" spans="1:59" ht="14.25" customHeight="1">
      <c r="A37" s="33"/>
      <c r="B37" s="62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37"/>
      <c r="AB37" s="37"/>
      <c r="AC37" s="37"/>
      <c r="AD37" s="37"/>
      <c r="AE37" s="37"/>
      <c r="AF37" s="37"/>
      <c r="AG37" s="71"/>
      <c r="AH37" s="71"/>
      <c r="AI37" s="71"/>
      <c r="AJ37" s="71"/>
      <c r="AK37" s="72"/>
      <c r="AL37" s="33"/>
      <c r="AM37" s="65"/>
      <c r="AN37" s="33"/>
      <c r="AO37" s="33"/>
      <c r="AP37" s="33"/>
      <c r="AQ37" s="33"/>
      <c r="AR37" s="33"/>
      <c r="AS37" s="33"/>
      <c r="AT37" s="69"/>
      <c r="AU37" s="69"/>
      <c r="AV37" s="33"/>
      <c r="AW37" s="33"/>
      <c r="AX37" s="270"/>
      <c r="AY37" s="137"/>
      <c r="AZ37" s="137"/>
      <c r="BA37" s="269"/>
      <c r="BB37" s="137"/>
      <c r="BC37" s="137"/>
      <c r="BD37" s="33"/>
      <c r="BE37" s="33"/>
      <c r="BF37" s="33"/>
      <c r="BG37" s="33"/>
    </row>
    <row r="38" spans="1:59" ht="14.25" customHeight="1">
      <c r="A38" s="33"/>
      <c r="B38" s="62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271" t="s">
        <v>64</v>
      </c>
      <c r="AB38" s="272"/>
      <c r="AC38" s="272"/>
      <c r="AD38" s="272"/>
      <c r="AE38" s="273"/>
      <c r="AF38" s="274"/>
      <c r="AG38" s="272"/>
      <c r="AH38" s="272"/>
      <c r="AI38" s="272"/>
      <c r="AJ38" s="272"/>
      <c r="AK38" s="275"/>
      <c r="AL38" s="33"/>
      <c r="AM38" s="65"/>
      <c r="AN38" s="33"/>
      <c r="AO38" s="33" t="s">
        <v>2</v>
      </c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</row>
    <row r="39" spans="1:59" ht="14.25" customHeight="1">
      <c r="A39" s="33"/>
      <c r="B39" s="62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244" t="s">
        <v>65</v>
      </c>
      <c r="AB39" s="245"/>
      <c r="AC39" s="245"/>
      <c r="AD39" s="245"/>
      <c r="AE39" s="246"/>
      <c r="AF39" s="276"/>
      <c r="AG39" s="245"/>
      <c r="AH39" s="245"/>
      <c r="AI39" s="245"/>
      <c r="AJ39" s="245"/>
      <c r="AK39" s="248"/>
      <c r="AL39" s="33"/>
      <c r="AM39" s="65"/>
      <c r="AN39" s="33"/>
      <c r="AO39" s="33"/>
      <c r="AP39" s="33"/>
      <c r="AQ39" s="33"/>
      <c r="AR39" s="33"/>
      <c r="AS39" s="33"/>
      <c r="AT39" s="33"/>
      <c r="AU39" s="73"/>
      <c r="AV39" s="73"/>
      <c r="AW39" s="73"/>
      <c r="AX39" s="74"/>
      <c r="AY39" s="252"/>
      <c r="AZ39" s="137"/>
      <c r="BA39" s="137"/>
      <c r="BB39" s="33"/>
      <c r="BC39" s="33"/>
      <c r="BD39" s="33"/>
      <c r="BE39" s="33"/>
      <c r="BF39" s="33"/>
      <c r="BG39" s="33"/>
    </row>
    <row r="40" spans="1:59" ht="14.25" customHeight="1">
      <c r="A40" s="33"/>
      <c r="B40" s="62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244" t="s">
        <v>66</v>
      </c>
      <c r="AB40" s="245"/>
      <c r="AC40" s="245"/>
      <c r="AD40" s="245"/>
      <c r="AE40" s="246"/>
      <c r="AF40" s="247"/>
      <c r="AG40" s="245"/>
      <c r="AH40" s="245"/>
      <c r="AI40" s="245"/>
      <c r="AJ40" s="245"/>
      <c r="AK40" s="248"/>
      <c r="AL40" s="33"/>
      <c r="AM40" s="65"/>
      <c r="AN40" s="33"/>
      <c r="AO40" s="33"/>
      <c r="AP40" s="33"/>
      <c r="AQ40" s="51" t="s">
        <v>67</v>
      </c>
      <c r="AR40" s="51" t="s">
        <v>68</v>
      </c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</row>
    <row r="41" spans="1:59" ht="14.25" customHeight="1">
      <c r="A41" s="33"/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253" t="s">
        <v>69</v>
      </c>
      <c r="AB41" s="245"/>
      <c r="AC41" s="245"/>
      <c r="AD41" s="245"/>
      <c r="AE41" s="246"/>
      <c r="AF41" s="254">
        <f>V31</f>
        <v>2.0603813559322033</v>
      </c>
      <c r="AG41" s="245"/>
      <c r="AH41" s="245"/>
      <c r="AI41" s="245"/>
      <c r="AJ41" s="245"/>
      <c r="AK41" s="248"/>
      <c r="AL41" s="33"/>
      <c r="AM41" s="65"/>
      <c r="AN41" s="33"/>
      <c r="AO41" s="33"/>
      <c r="AP41" s="33"/>
      <c r="AQ41" s="75">
        <v>0</v>
      </c>
      <c r="AR41" s="76">
        <f>AF42/1000</f>
        <v>1.9059957039150819</v>
      </c>
      <c r="AS41" s="77"/>
      <c r="AT41" s="77"/>
      <c r="AU41" s="77"/>
      <c r="AV41" s="77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</row>
    <row r="42" spans="1:59" ht="14.25" customHeight="1">
      <c r="A42" s="33"/>
      <c r="B42" s="62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253" t="s">
        <v>70</v>
      </c>
      <c r="AB42" s="245"/>
      <c r="AC42" s="245"/>
      <c r="AD42" s="245"/>
      <c r="AE42" s="246"/>
      <c r="AF42" s="255">
        <f>V32*1000</f>
        <v>1905.9957039150818</v>
      </c>
      <c r="AG42" s="245"/>
      <c r="AH42" s="245"/>
      <c r="AI42" s="245"/>
      <c r="AJ42" s="245"/>
      <c r="AK42" s="248"/>
      <c r="AL42" s="33"/>
      <c r="AM42" s="65"/>
      <c r="AN42" s="33"/>
      <c r="AO42" s="73"/>
      <c r="AP42" s="73"/>
      <c r="AQ42" s="75">
        <f>AF44*100</f>
        <v>8.1</v>
      </c>
      <c r="AR42" s="76">
        <f>AR41</f>
        <v>1.9059957039150819</v>
      </c>
      <c r="AS42" s="78"/>
      <c r="AT42" s="78"/>
      <c r="AU42" s="78"/>
      <c r="AV42" s="78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</row>
    <row r="43" spans="1:59" ht="14.25" customHeight="1">
      <c r="A43" s="33"/>
      <c r="B43" s="62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253" t="s">
        <v>71</v>
      </c>
      <c r="AB43" s="245"/>
      <c r="AC43" s="245"/>
      <c r="AD43" s="245"/>
      <c r="AE43" s="246"/>
      <c r="AF43" s="256">
        <f>IF(OR(AF42=""),"",((AF42/16.01846)))</f>
        <v>118.98744972457288</v>
      </c>
      <c r="AG43" s="257"/>
      <c r="AH43" s="257"/>
      <c r="AI43" s="257"/>
      <c r="AJ43" s="257"/>
      <c r="AK43" s="258"/>
      <c r="AL43" s="33"/>
      <c r="AM43" s="65"/>
      <c r="AN43" s="79"/>
      <c r="AO43" s="80"/>
      <c r="AP43" s="80"/>
      <c r="AQ43" s="80"/>
      <c r="AR43" s="80"/>
      <c r="AS43" s="78"/>
      <c r="AT43" s="78"/>
      <c r="AU43" s="78"/>
      <c r="AV43" s="78"/>
      <c r="AW43" s="33"/>
      <c r="AX43" s="33"/>
      <c r="AY43" s="33" t="s">
        <v>72</v>
      </c>
      <c r="AZ43" s="33"/>
      <c r="BA43" s="33"/>
      <c r="BB43" s="33"/>
      <c r="BC43" s="33"/>
      <c r="BD43" s="33"/>
      <c r="BE43" s="33"/>
      <c r="BF43" s="33"/>
      <c r="BG43" s="33"/>
    </row>
    <row r="44" spans="1:59" ht="14.25" customHeight="1">
      <c r="A44" s="33"/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259" t="s">
        <v>73</v>
      </c>
      <c r="AB44" s="260"/>
      <c r="AC44" s="260"/>
      <c r="AD44" s="260"/>
      <c r="AE44" s="261"/>
      <c r="AF44" s="249">
        <f>V27/100</f>
        <v>8.1000000000000003E-2</v>
      </c>
      <c r="AG44" s="250"/>
      <c r="AH44" s="250"/>
      <c r="AI44" s="250"/>
      <c r="AJ44" s="250"/>
      <c r="AK44" s="251"/>
      <c r="AL44" s="33" t="s">
        <v>74</v>
      </c>
      <c r="AM44" s="65"/>
      <c r="AN44" s="79"/>
      <c r="AO44" s="80"/>
      <c r="AP44" s="80"/>
      <c r="AQ44" s="80"/>
      <c r="AR44" s="80"/>
      <c r="AS44" s="81"/>
      <c r="AT44" s="81"/>
      <c r="AU44" s="81"/>
      <c r="AV44" s="81"/>
      <c r="AW44" s="51"/>
      <c r="AX44" s="33"/>
      <c r="AY44" s="252"/>
      <c r="AZ44" s="137"/>
      <c r="BA44" s="137"/>
      <c r="BB44" s="33"/>
      <c r="BC44" s="33"/>
      <c r="BD44" s="33"/>
      <c r="BE44" s="33"/>
      <c r="BF44" s="33"/>
      <c r="BG44" s="33"/>
    </row>
    <row r="45" spans="1:59" ht="14.25" customHeight="1">
      <c r="A45" s="33"/>
      <c r="B45" s="4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82"/>
      <c r="AB45" s="83"/>
      <c r="AC45" s="83"/>
      <c r="AD45" s="83"/>
      <c r="AE45" s="83"/>
      <c r="AF45" s="83"/>
      <c r="AG45" s="83"/>
      <c r="AH45" s="83"/>
      <c r="AI45" s="83"/>
      <c r="AJ45" s="83"/>
      <c r="AK45" s="84"/>
      <c r="AL45" s="33"/>
      <c r="AM45" s="65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</row>
    <row r="46" spans="1:59" ht="14.25" customHeight="1">
      <c r="A46" s="33"/>
      <c r="B46" s="4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68"/>
      <c r="AB46" s="33"/>
      <c r="AC46" s="33"/>
      <c r="AD46" s="33"/>
      <c r="AE46" s="33"/>
      <c r="AF46" s="33"/>
      <c r="AG46" s="68"/>
      <c r="AH46" s="33"/>
      <c r="AI46" s="33"/>
      <c r="AJ46" s="33"/>
      <c r="AK46" s="41"/>
      <c r="AL46" s="33"/>
      <c r="AM46" s="33"/>
      <c r="AN46" s="33"/>
      <c r="AO46" s="33"/>
      <c r="AP46" s="33"/>
      <c r="AQ46" s="33"/>
      <c r="AR46" s="33"/>
      <c r="AS46" s="85"/>
      <c r="AT46" s="85"/>
      <c r="AU46" s="85"/>
      <c r="AV46" s="85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</row>
    <row r="47" spans="1:59" ht="9.75" customHeight="1">
      <c r="A47" s="33"/>
      <c r="B47" s="86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8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9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</row>
    <row r="48" spans="1:59" ht="9.75" customHeight="1">
      <c r="A48" s="33"/>
      <c r="B48" s="86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8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9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</row>
    <row r="49" spans="1:59" ht="14.25" customHeight="1">
      <c r="A49" s="33"/>
      <c r="B49" s="286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28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94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</row>
    <row r="50" spans="1:59" ht="14.25" customHeight="1">
      <c r="A50" s="33"/>
      <c r="B50" s="90" t="s">
        <v>75</v>
      </c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288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28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94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</row>
    <row r="51" spans="1:59" ht="14.25" customHeight="1">
      <c r="A51" s="33"/>
      <c r="B51" s="289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92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</row>
    <row r="52" spans="1:59" ht="14.25" customHeight="1">
      <c r="A52" s="3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4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</row>
    <row r="53" spans="1:59" ht="14.25" customHeight="1">
      <c r="A53" s="3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4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</row>
    <row r="54" spans="1:59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</row>
    <row r="55" spans="1:59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</row>
    <row r="56" spans="1:59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L56" s="32"/>
    </row>
    <row r="57" spans="1:59" ht="21" customHeight="1">
      <c r="A57" s="181" t="s">
        <v>7</v>
      </c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290" t="s">
        <v>8</v>
      </c>
      <c r="AD57" s="146"/>
      <c r="AE57" s="146"/>
      <c r="AF57" s="146"/>
      <c r="AG57" s="146"/>
      <c r="AH57" s="146"/>
      <c r="AI57" s="146"/>
      <c r="AJ57" s="146"/>
      <c r="AK57" s="146"/>
      <c r="AL57" s="146"/>
    </row>
    <row r="58" spans="1:59" ht="24" customHeight="1">
      <c r="A58" s="182" t="s">
        <v>9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</row>
    <row r="59" spans="1:59" ht="14.25" customHeight="1">
      <c r="A59" s="33"/>
      <c r="B59" s="284"/>
      <c r="C59" s="137"/>
      <c r="D59" s="137"/>
      <c r="E59" s="137"/>
      <c r="F59" s="137"/>
      <c r="G59" s="137"/>
      <c r="H59" s="137"/>
      <c r="I59" s="137"/>
      <c r="J59" s="137"/>
      <c r="K59" s="137"/>
      <c r="L59" s="15"/>
      <c r="M59" s="15"/>
      <c r="N59" s="33"/>
      <c r="O59" s="33"/>
      <c r="P59" s="33"/>
      <c r="AA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</row>
    <row r="60" spans="1:59" ht="14.25" customHeight="1">
      <c r="A60" s="33"/>
      <c r="B60" s="284"/>
      <c r="C60" s="137"/>
      <c r="D60" s="137"/>
      <c r="E60" s="137"/>
      <c r="F60" s="137"/>
      <c r="G60" s="137"/>
      <c r="H60" s="137"/>
      <c r="I60" s="137"/>
      <c r="J60" s="137"/>
      <c r="K60" s="137"/>
      <c r="L60" s="15"/>
      <c r="M60" s="15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285"/>
      <c r="AC60" s="137"/>
      <c r="AD60" s="137"/>
      <c r="AE60" s="137"/>
      <c r="AF60" s="137"/>
      <c r="AG60" s="137"/>
      <c r="AH60" s="137"/>
      <c r="AI60" s="137"/>
      <c r="AJ60" s="137"/>
      <c r="AK60" s="137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</row>
    <row r="61" spans="1:59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</row>
    <row r="62" spans="1:59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</row>
    <row r="63" spans="1:59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</row>
    <row r="64" spans="1:59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</row>
    <row r="65" spans="1:59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</row>
    <row r="66" spans="1:59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</row>
    <row r="67" spans="1:59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</row>
    <row r="68" spans="1:59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</row>
    <row r="69" spans="1:59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</row>
    <row r="70" spans="1:59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</row>
    <row r="71" spans="1:59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</row>
    <row r="72" spans="1:59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</row>
    <row r="73" spans="1:59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</row>
    <row r="74" spans="1:59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</row>
    <row r="75" spans="1:59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</row>
    <row r="76" spans="1:59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</row>
    <row r="77" spans="1:59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</row>
    <row r="78" spans="1:59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</row>
    <row r="79" spans="1:59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</row>
    <row r="80" spans="1:59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</row>
    <row r="81" spans="1:59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</row>
    <row r="82" spans="1:59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</row>
    <row r="83" spans="1:59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</row>
    <row r="84" spans="1:59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</row>
    <row r="85" spans="1:59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</row>
    <row r="86" spans="1:59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</row>
    <row r="87" spans="1:59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</row>
    <row r="88" spans="1:59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</row>
    <row r="89" spans="1:59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</row>
    <row r="90" spans="1:59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</row>
    <row r="91" spans="1:59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</row>
    <row r="92" spans="1:59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</row>
    <row r="93" spans="1:59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</row>
    <row r="94" spans="1:59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</row>
    <row r="95" spans="1:59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</row>
    <row r="96" spans="1:59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</row>
    <row r="97" spans="1:59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</row>
    <row r="98" spans="1:59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</row>
    <row r="99" spans="1:5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</row>
    <row r="100" spans="1:59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</row>
    <row r="101" spans="1:59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</row>
    <row r="102" spans="1:59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</row>
    <row r="103" spans="1:59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59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59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59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59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59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5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59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59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59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1:59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1:59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1:59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1:59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1:59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1:59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1:5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1:59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1:59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1:59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1:59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1:59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1:59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1:59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1:59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1:59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  <row r="129" spans="1:5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</row>
    <row r="130" spans="1:59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</row>
    <row r="131" spans="1:59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</row>
    <row r="132" spans="1:59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</row>
    <row r="133" spans="1:59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</row>
    <row r="134" spans="1:59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</row>
    <row r="135" spans="1:59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</row>
    <row r="136" spans="1:59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</row>
    <row r="137" spans="1:59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</row>
    <row r="138" spans="1:59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</row>
    <row r="139" spans="1:5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</row>
    <row r="140" spans="1:59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</row>
    <row r="141" spans="1:59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</row>
    <row r="142" spans="1:59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</row>
    <row r="143" spans="1:59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</row>
    <row r="144" spans="1:59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</row>
    <row r="145" spans="1:59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</row>
    <row r="146" spans="1:59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</row>
    <row r="147" spans="1:59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</row>
    <row r="148" spans="1:59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</row>
    <row r="149" spans="1:5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</row>
    <row r="150" spans="1:59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</row>
    <row r="151" spans="1:59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</row>
    <row r="152" spans="1:59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</row>
    <row r="153" spans="1:59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</row>
    <row r="154" spans="1:59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</row>
    <row r="155" spans="1:59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</row>
    <row r="156" spans="1:59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</row>
    <row r="157" spans="1:59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</row>
    <row r="158" spans="1:59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</row>
    <row r="159" spans="1: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</row>
    <row r="160" spans="1:59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</row>
    <row r="161" spans="1:59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</row>
    <row r="162" spans="1:59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</row>
    <row r="163" spans="1:59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</row>
    <row r="164" spans="1:59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</row>
    <row r="165" spans="1:59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</row>
    <row r="166" spans="1:59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</row>
    <row r="167" spans="1:59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</row>
    <row r="168" spans="1:59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</row>
    <row r="169" spans="1:5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</row>
    <row r="170" spans="1:59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</row>
    <row r="171" spans="1:59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</row>
    <row r="172" spans="1:59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</row>
    <row r="173" spans="1:59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</row>
    <row r="174" spans="1:59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</row>
    <row r="175" spans="1:59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</row>
    <row r="176" spans="1:59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</row>
    <row r="177" spans="1:59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</row>
    <row r="178" spans="1:59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</row>
    <row r="179" spans="1:5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</row>
    <row r="180" spans="1:59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</row>
    <row r="181" spans="1:59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</row>
    <row r="182" spans="1:59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</row>
    <row r="183" spans="1:59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</row>
    <row r="184" spans="1:59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</row>
    <row r="185" spans="1:59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</row>
    <row r="186" spans="1:59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</row>
    <row r="187" spans="1:59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</row>
    <row r="188" spans="1:59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</row>
    <row r="189" spans="1:5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</row>
    <row r="190" spans="1:59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</row>
    <row r="191" spans="1:59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</row>
    <row r="192" spans="1:59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</row>
    <row r="193" spans="1:59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</row>
    <row r="194" spans="1:59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</row>
    <row r="195" spans="1:59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</row>
    <row r="196" spans="1:59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</row>
    <row r="197" spans="1:59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</row>
    <row r="198" spans="1:59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</row>
    <row r="199" spans="1:5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</row>
    <row r="200" spans="1:59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</row>
    <row r="201" spans="1:59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</row>
    <row r="202" spans="1:59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</row>
    <row r="203" spans="1:59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</row>
    <row r="204" spans="1:59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</row>
    <row r="205" spans="1:59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</row>
    <row r="206" spans="1:59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</row>
    <row r="207" spans="1:59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</row>
    <row r="208" spans="1:59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</row>
    <row r="209" spans="1:5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</row>
    <row r="210" spans="1:59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</row>
    <row r="211" spans="1:59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</row>
    <row r="212" spans="1:59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</row>
    <row r="213" spans="1:59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</row>
    <row r="214" spans="1:59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</row>
    <row r="215" spans="1:59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</row>
    <row r="216" spans="1:59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</row>
    <row r="217" spans="1:59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</row>
    <row r="218" spans="1:59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</row>
    <row r="219" spans="1:5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</row>
    <row r="220" spans="1:59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</row>
    <row r="221" spans="1:59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</row>
    <row r="222" spans="1:59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</row>
    <row r="223" spans="1:59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</row>
    <row r="224" spans="1:59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</row>
    <row r="225" spans="1:59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</row>
    <row r="226" spans="1:59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</row>
    <row r="227" spans="1:59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</row>
    <row r="228" spans="1:59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</row>
    <row r="229" spans="1:5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</row>
    <row r="230" spans="1:59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</row>
    <row r="231" spans="1:59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</row>
    <row r="232" spans="1:59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</row>
    <row r="233" spans="1:59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</row>
    <row r="234" spans="1:59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</row>
    <row r="235" spans="1:59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</row>
    <row r="236" spans="1:59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</row>
    <row r="237" spans="1:59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</row>
    <row r="238" spans="1:59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</row>
    <row r="239" spans="1:5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</row>
    <row r="240" spans="1:59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</row>
    <row r="241" spans="1:59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</row>
    <row r="242" spans="1:59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</row>
    <row r="243" spans="1:59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</row>
    <row r="244" spans="1:59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</row>
    <row r="245" spans="1:59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</row>
    <row r="246" spans="1:59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</row>
    <row r="247" spans="1:59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</row>
    <row r="248" spans="1:59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</row>
    <row r="249" spans="1:5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</row>
    <row r="250" spans="1:59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</row>
    <row r="251" spans="1:59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</row>
    <row r="252" spans="1:59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</row>
    <row r="253" spans="1:59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</row>
    <row r="254" spans="1:59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</row>
    <row r="255" spans="1:59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</row>
    <row r="256" spans="1:59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</row>
    <row r="257" spans="1:59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</row>
    <row r="258" spans="1:59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</row>
    <row r="259" spans="1:59" ht="15.75" customHeight="1"/>
    <row r="260" spans="1:59" ht="15.75" customHeight="1"/>
    <row r="261" spans="1:59" ht="15.75" customHeight="1"/>
    <row r="262" spans="1:59" ht="15.75" customHeight="1"/>
    <row r="263" spans="1:59" ht="15.75" customHeight="1"/>
    <row r="264" spans="1:59" ht="15.75" customHeight="1"/>
    <row r="265" spans="1:59" ht="15.75" customHeight="1"/>
    <row r="266" spans="1:59" ht="15.75" customHeight="1"/>
    <row r="267" spans="1:59" ht="15.75" customHeight="1"/>
    <row r="268" spans="1:59" ht="15.75" customHeight="1"/>
    <row r="269" spans="1:59" ht="15.75" customHeight="1"/>
    <row r="270" spans="1:59" ht="15.75" customHeight="1"/>
    <row r="271" spans="1:59" ht="15.75" customHeight="1"/>
    <row r="272" spans="1:5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4">
    <mergeCell ref="B1:I4"/>
    <mergeCell ref="AF1:AK4"/>
    <mergeCell ref="J4:AE4"/>
    <mergeCell ref="B5:AK5"/>
    <mergeCell ref="B6:I6"/>
    <mergeCell ref="J6:AK6"/>
    <mergeCell ref="B7:I7"/>
    <mergeCell ref="J7:AK7"/>
    <mergeCell ref="J1:AD2"/>
    <mergeCell ref="J3:AD3"/>
    <mergeCell ref="B8:I8"/>
    <mergeCell ref="J8:AK8"/>
    <mergeCell ref="B9:I9"/>
    <mergeCell ref="J9:AK9"/>
    <mergeCell ref="B10:I10"/>
    <mergeCell ref="J10:AK10"/>
    <mergeCell ref="B11:AK11"/>
    <mergeCell ref="L13:S13"/>
    <mergeCell ref="T13:X13"/>
    <mergeCell ref="Y13:AA13"/>
    <mergeCell ref="AB13:AH13"/>
    <mergeCell ref="AI13:AK13"/>
    <mergeCell ref="V17:Y17"/>
    <mergeCell ref="Z17:AC17"/>
    <mergeCell ref="AD16:AG16"/>
    <mergeCell ref="AH16:AK16"/>
    <mergeCell ref="AD17:AG17"/>
    <mergeCell ref="AH17:AK17"/>
    <mergeCell ref="B13:K13"/>
    <mergeCell ref="B14:K14"/>
    <mergeCell ref="L14:S14"/>
    <mergeCell ref="T14:AC14"/>
    <mergeCell ref="AD14:AK14"/>
    <mergeCell ref="B16:K16"/>
    <mergeCell ref="L16:M16"/>
    <mergeCell ref="N16:Q16"/>
    <mergeCell ref="R16:U16"/>
    <mergeCell ref="B17:K17"/>
    <mergeCell ref="L17:M17"/>
    <mergeCell ref="N17:Q17"/>
    <mergeCell ref="R17:U17"/>
    <mergeCell ref="V16:Y16"/>
    <mergeCell ref="Z16:AC16"/>
    <mergeCell ref="L22:M22"/>
    <mergeCell ref="N22:Q22"/>
    <mergeCell ref="R22:U22"/>
    <mergeCell ref="V22:Y22"/>
    <mergeCell ref="Z22:AC22"/>
    <mergeCell ref="AD22:AG22"/>
    <mergeCell ref="AH22:AK22"/>
    <mergeCell ref="R20:U20"/>
    <mergeCell ref="V20:Y20"/>
    <mergeCell ref="Z20:AC20"/>
    <mergeCell ref="AD20:AG20"/>
    <mergeCell ref="AH20:AK20"/>
    <mergeCell ref="AD21:AG21"/>
    <mergeCell ref="AH21:AK21"/>
    <mergeCell ref="B23:K23"/>
    <mergeCell ref="L23:M23"/>
    <mergeCell ref="N23:Q23"/>
    <mergeCell ref="R23:U23"/>
    <mergeCell ref="V23:Y23"/>
    <mergeCell ref="Z23:AC23"/>
    <mergeCell ref="Z24:AC24"/>
    <mergeCell ref="AD24:AG24"/>
    <mergeCell ref="AD23:AG23"/>
    <mergeCell ref="R18:U18"/>
    <mergeCell ref="AD19:AG19"/>
    <mergeCell ref="AH19:AK19"/>
    <mergeCell ref="B18:K18"/>
    <mergeCell ref="B19:K19"/>
    <mergeCell ref="L19:M19"/>
    <mergeCell ref="N19:Q19"/>
    <mergeCell ref="R19:U19"/>
    <mergeCell ref="V19:Y19"/>
    <mergeCell ref="Z19:AC19"/>
    <mergeCell ref="L18:M18"/>
    <mergeCell ref="N18:Q18"/>
    <mergeCell ref="V18:Y18"/>
    <mergeCell ref="Z18:AC18"/>
    <mergeCell ref="AD18:AG18"/>
    <mergeCell ref="AH18:AK18"/>
    <mergeCell ref="B20:K20"/>
    <mergeCell ref="B21:K21"/>
    <mergeCell ref="L21:M21"/>
    <mergeCell ref="N21:Q21"/>
    <mergeCell ref="R21:U21"/>
    <mergeCell ref="V21:Y21"/>
    <mergeCell ref="Z21:AC21"/>
    <mergeCell ref="AD25:AG25"/>
    <mergeCell ref="AH25:AK25"/>
    <mergeCell ref="B24:K24"/>
    <mergeCell ref="B25:K25"/>
    <mergeCell ref="N25:Q25"/>
    <mergeCell ref="R25:U25"/>
    <mergeCell ref="V25:Y25"/>
    <mergeCell ref="Z25:AC25"/>
    <mergeCell ref="AH23:AK23"/>
    <mergeCell ref="L24:M24"/>
    <mergeCell ref="N24:Q24"/>
    <mergeCell ref="R24:U24"/>
    <mergeCell ref="V24:Y24"/>
    <mergeCell ref="AH24:AK24"/>
    <mergeCell ref="L20:M20"/>
    <mergeCell ref="N20:Q20"/>
    <mergeCell ref="B22:K22"/>
    <mergeCell ref="B27:K30"/>
    <mergeCell ref="L29:M29"/>
    <mergeCell ref="L30:M30"/>
    <mergeCell ref="N30:Q30"/>
    <mergeCell ref="R30:U30"/>
    <mergeCell ref="V30:Y30"/>
    <mergeCell ref="Z30:AC30"/>
    <mergeCell ref="L25:M25"/>
    <mergeCell ref="L27:M27"/>
    <mergeCell ref="N27:Q27"/>
    <mergeCell ref="R27:U27"/>
    <mergeCell ref="V27:Y27"/>
    <mergeCell ref="Z27:AC27"/>
    <mergeCell ref="AD27:AG27"/>
    <mergeCell ref="AH27:AK27"/>
    <mergeCell ref="L28:M28"/>
    <mergeCell ref="N28:Q28"/>
    <mergeCell ref="N29:Q29"/>
    <mergeCell ref="R29:U29"/>
    <mergeCell ref="V29:Y29"/>
    <mergeCell ref="Z29:AC29"/>
    <mergeCell ref="AD29:AG29"/>
    <mergeCell ref="AH29:AK29"/>
    <mergeCell ref="R28:U28"/>
    <mergeCell ref="V28:Y28"/>
    <mergeCell ref="AD28:AG28"/>
    <mergeCell ref="AH28:AK28"/>
    <mergeCell ref="Z28:AC28"/>
    <mergeCell ref="AD30:AG30"/>
    <mergeCell ref="AH30:AK30"/>
    <mergeCell ref="AD32:AG32"/>
    <mergeCell ref="AH32:AK32"/>
    <mergeCell ref="A58:K58"/>
    <mergeCell ref="B59:K59"/>
    <mergeCell ref="B60:K60"/>
    <mergeCell ref="AB60:AK60"/>
    <mergeCell ref="B49:Y49"/>
    <mergeCell ref="Z49:AK49"/>
    <mergeCell ref="N50:Y50"/>
    <mergeCell ref="Z50:AK50"/>
    <mergeCell ref="B51:AJ51"/>
    <mergeCell ref="A57:K57"/>
    <mergeCell ref="AC57:AL57"/>
    <mergeCell ref="L31:M31"/>
    <mergeCell ref="N31:Q31"/>
    <mergeCell ref="R31:U31"/>
    <mergeCell ref="V31:Y31"/>
    <mergeCell ref="Z31:AC31"/>
    <mergeCell ref="AD31:AG31"/>
    <mergeCell ref="AH31:AK31"/>
    <mergeCell ref="B31:K31"/>
    <mergeCell ref="B32:K32"/>
    <mergeCell ref="L32:M32"/>
    <mergeCell ref="N32:Q32"/>
    <mergeCell ref="R32:U32"/>
    <mergeCell ref="V32:Y32"/>
    <mergeCell ref="Z32:AC32"/>
    <mergeCell ref="B33:K33"/>
    <mergeCell ref="L33:M33"/>
    <mergeCell ref="N33:Q33"/>
    <mergeCell ref="R33:U33"/>
    <mergeCell ref="V33:Y33"/>
    <mergeCell ref="Z33:AC33"/>
    <mergeCell ref="AH33:AK33"/>
    <mergeCell ref="AD33:AG33"/>
    <mergeCell ref="AB35:AJ35"/>
    <mergeCell ref="AG36:AH36"/>
    <mergeCell ref="AJ36:AK36"/>
    <mergeCell ref="BA36:BC36"/>
    <mergeCell ref="AX37:AZ37"/>
    <mergeCell ref="BA37:BC37"/>
    <mergeCell ref="AY39:BA39"/>
    <mergeCell ref="AC36:AD36"/>
    <mergeCell ref="AA38:AE38"/>
    <mergeCell ref="AF38:AK38"/>
    <mergeCell ref="AA39:AE39"/>
    <mergeCell ref="AF39:AK39"/>
    <mergeCell ref="AA40:AE40"/>
    <mergeCell ref="AF40:AK40"/>
    <mergeCell ref="AF44:AK44"/>
    <mergeCell ref="AY44:BA44"/>
    <mergeCell ref="AA41:AE41"/>
    <mergeCell ref="AF41:AK41"/>
    <mergeCell ref="AA42:AE42"/>
    <mergeCell ref="AF42:AK42"/>
    <mergeCell ref="AA43:AE43"/>
    <mergeCell ref="AF43:AK43"/>
    <mergeCell ref="AA44:AE44"/>
  </mergeCells>
  <printOptions horizontalCentered="1" verticalCentered="1"/>
  <pageMargins left="0.51181102362204722" right="0.19685039370078741" top="0" bottom="0.39370078740157483" header="0" footer="0"/>
  <pageSetup scale="78" orientation="portrait" r:id="rId1"/>
  <headerFooter>
    <oddFooter>&amp;C_________________________________________________________________________________________________________
&amp;12 &amp;K0020601a. Avenida 8-34 Residenciales Joya De Palencia, Palencia, Guatemala. Tels. 54733871 &amp;K01+000/ 4020-2271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Y1002"/>
  <sheetViews>
    <sheetView tabSelected="1" topLeftCell="A11" zoomScaleNormal="100" workbookViewId="0">
      <selection activeCell="L12" sqref="L12"/>
    </sheetView>
  </sheetViews>
  <sheetFormatPr baseColWidth="10" defaultColWidth="12.625" defaultRowHeight="15" customHeight="1"/>
  <cols>
    <col min="1" max="1" width="9.375" customWidth="1"/>
    <col min="2" max="2" width="15.125" customWidth="1"/>
    <col min="3" max="3" width="14.75" customWidth="1"/>
    <col min="4" max="7" width="21.625" customWidth="1"/>
    <col min="8" max="25" width="9.375" customWidth="1"/>
  </cols>
  <sheetData>
    <row r="1" spans="1:25" ht="39" customHeight="1">
      <c r="A1" s="370" t="s">
        <v>76</v>
      </c>
      <c r="B1" s="230"/>
      <c r="C1" s="374" t="s">
        <v>11</v>
      </c>
      <c r="D1" s="375"/>
      <c r="E1" s="375"/>
      <c r="F1" s="375"/>
      <c r="G1" s="119"/>
      <c r="H1" s="5"/>
      <c r="I1" s="5"/>
      <c r="J1" s="5"/>
    </row>
    <row r="2" spans="1:25" ht="35.25" customHeight="1">
      <c r="A2" s="231"/>
      <c r="B2" s="232"/>
      <c r="C2" s="376" t="str">
        <f>PROCTOR!J3</f>
        <v>Estudio de Suelos, Asfalto y concreto</v>
      </c>
      <c r="D2" s="377"/>
      <c r="E2" s="377"/>
      <c r="F2" s="377"/>
      <c r="G2" s="120"/>
      <c r="H2" s="5"/>
      <c r="I2" s="5"/>
      <c r="J2" s="5"/>
    </row>
    <row r="3" spans="1:25" ht="30" customHeight="1">
      <c r="A3" s="185"/>
      <c r="B3" s="187"/>
      <c r="C3" s="371"/>
      <c r="D3" s="234"/>
      <c r="E3" s="234"/>
      <c r="F3" s="234"/>
      <c r="G3" s="121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42.75" customHeight="1">
      <c r="A4" s="213" t="s">
        <v>12</v>
      </c>
      <c r="B4" s="214"/>
      <c r="C4" s="239" t="str">
        <f>PROCTOR!J6</f>
        <v>MUNICIPALIDAD DE EL QUETZAL, SAN MARCOS</v>
      </c>
      <c r="D4" s="372"/>
      <c r="E4" s="372"/>
      <c r="F4" s="372"/>
      <c r="G4" s="37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30" customHeight="1">
      <c r="A5" s="213" t="str">
        <f>PROCTOR!B7</f>
        <v>Empresa Ejecutora:</v>
      </c>
      <c r="B5" s="214"/>
      <c r="C5" s="237" t="str">
        <f>PROCTOR!J7</f>
        <v>CONSTRUCCIONES Y VENTA ADONAI</v>
      </c>
      <c r="D5" s="216"/>
      <c r="E5" s="216"/>
      <c r="F5" s="216"/>
      <c r="G5" s="21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46.5" customHeight="1">
      <c r="A6" s="238" t="s">
        <v>14</v>
      </c>
      <c r="B6" s="214"/>
      <c r="C6" s="239" t="str">
        <f>PROCTOR!J8</f>
        <v>MEJORAMIENTO CAMINO RURAL ENTRADA PRINCIPAL, DEL PUENTE HACIA CASERIO VILLA NUEVA, MUNICIPIO DE EL QUETZAL, SAN MARCOS</v>
      </c>
      <c r="D6" s="216"/>
      <c r="E6" s="216"/>
      <c r="F6" s="216"/>
      <c r="G6" s="21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21.75" customHeight="1">
      <c r="A7" s="369" t="s">
        <v>16</v>
      </c>
      <c r="B7" s="214"/>
      <c r="C7" s="332" t="str">
        <f>PROCTOR!J10</f>
        <v>BASE GRANULAR</v>
      </c>
      <c r="D7" s="216"/>
      <c r="E7" s="216"/>
      <c r="F7" s="216"/>
      <c r="G7" s="217"/>
    </row>
    <row r="8" spans="1:25" ht="26.25" customHeight="1">
      <c r="A8" s="333"/>
      <c r="B8" s="175"/>
      <c r="C8" s="175"/>
      <c r="D8" s="175"/>
      <c r="E8" s="175"/>
      <c r="F8" s="175"/>
      <c r="G8" s="176"/>
    </row>
    <row r="9" spans="1:25" ht="8.25" customHeight="1">
      <c r="A9" s="208"/>
      <c r="B9" s="175"/>
      <c r="C9" s="175"/>
      <c r="D9" s="175"/>
      <c r="E9" s="175"/>
      <c r="F9" s="175"/>
      <c r="G9" s="176"/>
    </row>
    <row r="10" spans="1:25" ht="24.75" customHeight="1">
      <c r="A10" s="358" t="s">
        <v>77</v>
      </c>
      <c r="B10" s="175"/>
      <c r="C10" s="205"/>
      <c r="D10" s="95">
        <v>1</v>
      </c>
      <c r="E10" s="95">
        <v>2</v>
      </c>
      <c r="F10" s="95"/>
      <c r="G10" s="95"/>
    </row>
    <row r="11" spans="1:25" ht="26.25" customHeight="1">
      <c r="A11" s="358" t="s">
        <v>78</v>
      </c>
      <c r="B11" s="175"/>
      <c r="C11" s="205"/>
      <c r="D11" s="96">
        <v>45880</v>
      </c>
      <c r="E11" s="96">
        <v>45887</v>
      </c>
      <c r="F11" s="97"/>
      <c r="G11" s="97"/>
    </row>
    <row r="12" spans="1:25" ht="45" customHeight="1">
      <c r="A12" s="358" t="s">
        <v>79</v>
      </c>
      <c r="B12" s="175"/>
      <c r="C12" s="205"/>
      <c r="D12" s="98" t="str">
        <f>C7</f>
        <v>BASE GRANULAR</v>
      </c>
      <c r="E12" s="98" t="str">
        <f>C7</f>
        <v>BASE GRANULAR</v>
      </c>
      <c r="F12" s="99"/>
      <c r="G12" s="99"/>
    </row>
    <row r="13" spans="1:25" ht="27.75" customHeight="1">
      <c r="A13" s="355" t="s">
        <v>104</v>
      </c>
      <c r="B13" s="356"/>
      <c r="C13" s="357"/>
      <c r="D13" s="125" t="s">
        <v>112</v>
      </c>
      <c r="E13" s="125" t="s">
        <v>111</v>
      </c>
      <c r="F13" s="124"/>
      <c r="G13" s="124"/>
    </row>
    <row r="14" spans="1:25" ht="24.75" customHeight="1">
      <c r="A14" s="358" t="s">
        <v>80</v>
      </c>
      <c r="B14" s="175"/>
      <c r="C14" s="205"/>
      <c r="D14" s="100" t="s">
        <v>81</v>
      </c>
      <c r="E14" s="100" t="s">
        <v>81</v>
      </c>
      <c r="F14" s="100"/>
      <c r="G14" s="100"/>
    </row>
    <row r="15" spans="1:25" ht="24.75" customHeight="1">
      <c r="A15" s="358" t="s">
        <v>82</v>
      </c>
      <c r="B15" s="175"/>
      <c r="C15" s="205"/>
      <c r="D15" s="101">
        <v>11.94</v>
      </c>
      <c r="E15" s="101">
        <v>11.9</v>
      </c>
      <c r="F15" s="101"/>
      <c r="G15" s="101"/>
    </row>
    <row r="16" spans="1:25" ht="24.75" customHeight="1">
      <c r="A16" s="358" t="s">
        <v>83</v>
      </c>
      <c r="B16" s="175"/>
      <c r="C16" s="205"/>
      <c r="D16" s="101">
        <f>+D15-0.81</f>
        <v>11.129999999999999</v>
      </c>
      <c r="E16" s="101">
        <f>+E15-0.79</f>
        <v>11.11</v>
      </c>
      <c r="F16" s="101"/>
      <c r="G16" s="101"/>
    </row>
    <row r="17" spans="1:25" ht="24.75" customHeight="1">
      <c r="A17" s="358" t="s">
        <v>84</v>
      </c>
      <c r="B17" s="175"/>
      <c r="C17" s="205"/>
      <c r="D17" s="102">
        <f t="shared" ref="D17:E17" si="0">D15-D16</f>
        <v>0.8100000000000005</v>
      </c>
      <c r="E17" s="102">
        <f t="shared" si="0"/>
        <v>0.79000000000000092</v>
      </c>
      <c r="F17" s="102"/>
      <c r="G17" s="102"/>
    </row>
    <row r="18" spans="1:25" ht="24.75" customHeight="1">
      <c r="A18" s="358" t="s">
        <v>83</v>
      </c>
      <c r="B18" s="175"/>
      <c r="C18" s="205"/>
      <c r="D18" s="102">
        <f t="shared" ref="D18:E18" si="1">D16</f>
        <v>11.129999999999999</v>
      </c>
      <c r="E18" s="102">
        <f t="shared" si="1"/>
        <v>11.11</v>
      </c>
      <c r="F18" s="102"/>
      <c r="G18" s="102"/>
      <c r="J18" s="368"/>
      <c r="K18" s="137"/>
      <c r="L18" s="137"/>
      <c r="M18" s="137" t="e" cm="1" vm="1">
        <f t="array" aca="1" ref="M18" ca="1">-'INFORME1 (2)'!L13:S13</f>
        <v>#VALUE!</v>
      </c>
      <c r="N18" s="137"/>
    </row>
    <row r="19" spans="1:25" ht="24.75" customHeight="1">
      <c r="A19" s="358" t="s">
        <v>85</v>
      </c>
      <c r="B19" s="175"/>
      <c r="C19" s="205"/>
      <c r="D19" s="103">
        <v>8.31</v>
      </c>
      <c r="E19" s="103">
        <v>8.34</v>
      </c>
      <c r="F19" s="103"/>
      <c r="G19" s="103"/>
    </row>
    <row r="20" spans="1:25" ht="24.75" customHeight="1">
      <c r="A20" s="358" t="s">
        <v>86</v>
      </c>
      <c r="B20" s="175"/>
      <c r="C20" s="205"/>
      <c r="D20" s="101">
        <f t="shared" ref="D20:E20" si="2">D18-D19</f>
        <v>2.8199999999999985</v>
      </c>
      <c r="E20" s="101">
        <f t="shared" si="2"/>
        <v>2.7699999999999996</v>
      </c>
      <c r="F20" s="101"/>
      <c r="G20" s="101"/>
    </row>
    <row r="21" spans="1:25" ht="24.75" customHeight="1">
      <c r="A21" s="358" t="s">
        <v>87</v>
      </c>
      <c r="B21" s="175"/>
      <c r="C21" s="205"/>
      <c r="D21" s="102">
        <f t="shared" ref="D21:E21" si="3">D17</f>
        <v>0.8100000000000005</v>
      </c>
      <c r="E21" s="102">
        <f t="shared" si="3"/>
        <v>0.79000000000000092</v>
      </c>
      <c r="F21" s="102"/>
      <c r="G21" s="102"/>
    </row>
    <row r="22" spans="1:25" ht="24.75" customHeight="1">
      <c r="A22" s="358" t="s">
        <v>88</v>
      </c>
      <c r="B22" s="175"/>
      <c r="C22" s="205"/>
      <c r="D22" s="103">
        <f t="shared" ref="D22:E22" si="4">D20-D21</f>
        <v>2.009999999999998</v>
      </c>
      <c r="E22" s="103">
        <f t="shared" si="4"/>
        <v>1.9799999999999986</v>
      </c>
      <c r="F22" s="103"/>
      <c r="G22" s="10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4.75" customHeight="1">
      <c r="A23" s="358" t="s">
        <v>89</v>
      </c>
      <c r="B23" s="175"/>
      <c r="C23" s="205"/>
      <c r="D23" s="104">
        <v>79.31</v>
      </c>
      <c r="E23" s="104">
        <v>80.31</v>
      </c>
      <c r="F23" s="105"/>
      <c r="G23" s="10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4.75" customHeight="1">
      <c r="A24" s="358" t="s">
        <v>90</v>
      </c>
      <c r="B24" s="175"/>
      <c r="C24" s="205"/>
      <c r="D24" s="106">
        <f t="shared" ref="D24:E24" si="5">D22/D23</f>
        <v>2.5343588450384542E-2</v>
      </c>
      <c r="E24" s="106">
        <f t="shared" si="5"/>
        <v>2.4654463952185266E-2</v>
      </c>
      <c r="F24" s="106"/>
      <c r="G24" s="106"/>
    </row>
    <row r="25" spans="1:25" ht="24.75" customHeight="1">
      <c r="A25" s="358" t="s">
        <v>91</v>
      </c>
      <c r="B25" s="175"/>
      <c r="C25" s="205"/>
      <c r="D25" s="102">
        <v>3.6</v>
      </c>
      <c r="E25" s="102">
        <v>3.52</v>
      </c>
      <c r="F25" s="102"/>
      <c r="G25" s="102"/>
    </row>
    <row r="26" spans="1:25" ht="24.75" customHeight="1">
      <c r="A26" s="358" t="s">
        <v>92</v>
      </c>
      <c r="B26" s="175"/>
      <c r="C26" s="205"/>
      <c r="D26" s="102">
        <v>0.4</v>
      </c>
      <c r="E26" s="102">
        <v>0.4</v>
      </c>
      <c r="F26" s="107"/>
      <c r="G26" s="107"/>
    </row>
    <row r="27" spans="1:25" ht="24.75" customHeight="1">
      <c r="A27" s="358" t="s">
        <v>93</v>
      </c>
      <c r="B27" s="175"/>
      <c r="C27" s="205"/>
      <c r="D27" s="103">
        <f>D25-D26</f>
        <v>3.2</v>
      </c>
      <c r="E27" s="103">
        <f>E25-E26</f>
        <v>3.12</v>
      </c>
      <c r="F27" s="103"/>
      <c r="G27" s="103"/>
    </row>
    <row r="28" spans="1:25" ht="24.75" customHeight="1">
      <c r="A28" s="358" t="s">
        <v>94</v>
      </c>
      <c r="B28" s="175"/>
      <c r="C28" s="205"/>
      <c r="D28" s="102">
        <f t="shared" ref="D28:E28" si="6">D27/D24</f>
        <v>126.26467661691555</v>
      </c>
      <c r="E28" s="102">
        <f t="shared" si="6"/>
        <v>126.54909090909099</v>
      </c>
      <c r="F28" s="102"/>
      <c r="G28" s="102"/>
    </row>
    <row r="29" spans="1:25" ht="24.75" customHeight="1">
      <c r="A29" s="358" t="s">
        <v>95</v>
      </c>
      <c r="B29" s="175"/>
      <c r="C29" s="205"/>
      <c r="D29" s="108">
        <v>8.6</v>
      </c>
      <c r="E29" s="108">
        <v>8.4</v>
      </c>
      <c r="F29" s="108"/>
      <c r="G29" s="108"/>
    </row>
    <row r="30" spans="1:25" ht="24.75" customHeight="1">
      <c r="A30" s="358" t="s">
        <v>96</v>
      </c>
      <c r="B30" s="175"/>
      <c r="C30" s="205"/>
      <c r="D30" s="102">
        <f t="shared" ref="D30:E30" si="7">D28/(D29+100)*100</f>
        <v>116.2658164059996</v>
      </c>
      <c r="E30" s="102">
        <f t="shared" si="7"/>
        <v>116.74270379067435</v>
      </c>
      <c r="F30" s="102"/>
      <c r="G30" s="102"/>
    </row>
    <row r="31" spans="1:25" ht="42.75" customHeight="1">
      <c r="A31" s="359" t="s">
        <v>97</v>
      </c>
      <c r="B31" s="175"/>
      <c r="C31" s="205"/>
      <c r="D31" s="108">
        <f>PROCTOR!AF43</f>
        <v>118.98744972457288</v>
      </c>
      <c r="E31" s="108">
        <f>PROCTOR!AF43</f>
        <v>118.98744972457288</v>
      </c>
      <c r="F31" s="108"/>
      <c r="G31" s="108"/>
    </row>
    <row r="32" spans="1:25" ht="42" customHeight="1">
      <c r="A32" s="359" t="s">
        <v>98</v>
      </c>
      <c r="B32" s="175"/>
      <c r="C32" s="205"/>
      <c r="D32" s="132">
        <f>PROCTOR!AF44</f>
        <v>8.1000000000000003E-2</v>
      </c>
      <c r="E32" s="132">
        <f>PROCTOR!AF44</f>
        <v>8.1000000000000003E-2</v>
      </c>
      <c r="F32" s="102"/>
      <c r="G32" s="102"/>
    </row>
    <row r="33" spans="1:25" ht="30" customHeight="1">
      <c r="A33" s="358" t="s">
        <v>99</v>
      </c>
      <c r="B33" s="175"/>
      <c r="C33" s="205"/>
      <c r="D33" s="109">
        <f t="shared" ref="D33:E33" si="8">(D30/D31)*100</f>
        <v>97.712671945761329</v>
      </c>
      <c r="E33" s="109">
        <f t="shared" si="8"/>
        <v>98.113459916071349</v>
      </c>
      <c r="F33" s="110"/>
      <c r="G33" s="110"/>
    </row>
    <row r="34" spans="1:25" ht="19.5" customHeight="1">
      <c r="A34" s="361" t="s">
        <v>100</v>
      </c>
      <c r="B34" s="184"/>
      <c r="C34" s="363" t="str">
        <f>INFORME!A27</f>
        <v>CHEQUEO DE COMPACTACIÓN EN CAPA DE BASE GRANULAR</v>
      </c>
      <c r="D34" s="364"/>
      <c r="E34" s="364"/>
      <c r="F34" s="364"/>
      <c r="G34" s="365"/>
    </row>
    <row r="35" spans="1:25" ht="27.75" customHeight="1">
      <c r="A35" s="179"/>
      <c r="B35" s="362"/>
      <c r="C35" s="366"/>
      <c r="D35" s="202"/>
      <c r="E35" s="202"/>
      <c r="F35" s="202"/>
      <c r="G35" s="20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27.75" customHeight="1">
      <c r="A36" s="129"/>
      <c r="B36" s="129"/>
      <c r="C36" s="130"/>
      <c r="D36" s="130"/>
      <c r="E36" s="130"/>
      <c r="F36" s="130"/>
      <c r="G36" s="130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>
      <c r="A37" s="367"/>
      <c r="B37" s="137"/>
      <c r="C37" s="137"/>
      <c r="D37" s="137"/>
      <c r="E37" s="137"/>
      <c r="F37" s="137"/>
      <c r="G37" s="137"/>
      <c r="H37" s="32"/>
    </row>
    <row r="38" spans="1:25" ht="15.75" customHeight="1">
      <c r="A38" s="32"/>
      <c r="B38" s="32"/>
      <c r="C38" s="32"/>
      <c r="D38" s="32"/>
      <c r="E38" s="32"/>
      <c r="F38" s="5"/>
      <c r="G38" s="5"/>
    </row>
    <row r="39" spans="1:25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>
      <c r="A40" s="284"/>
      <c r="B40" s="137"/>
      <c r="C40" s="137"/>
      <c r="D40" s="32"/>
      <c r="E40" s="32"/>
      <c r="F40" s="111"/>
      <c r="G40" s="32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22.5" customHeight="1">
      <c r="A41" s="360" t="s">
        <v>7</v>
      </c>
      <c r="B41" s="146"/>
      <c r="C41" s="146"/>
      <c r="D41" s="131"/>
      <c r="E41" s="131"/>
      <c r="F41" s="181" t="s">
        <v>101</v>
      </c>
      <c r="G41" s="14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21.75" customHeight="1">
      <c r="A42" s="182" t="s">
        <v>9</v>
      </c>
      <c r="B42" s="139"/>
      <c r="C42" s="139"/>
      <c r="D42" s="131"/>
      <c r="E42" s="131"/>
      <c r="F42" s="131"/>
      <c r="G42" s="131"/>
    </row>
    <row r="43" spans="1:25" ht="15.75" customHeight="1">
      <c r="A43" s="32"/>
      <c r="B43" s="32"/>
      <c r="C43" s="32"/>
      <c r="D43" s="32"/>
      <c r="E43" s="32"/>
      <c r="F43" s="5"/>
      <c r="G43" s="5"/>
    </row>
    <row r="44" spans="1:25" ht="15.75" customHeight="1">
      <c r="F44" s="5"/>
      <c r="G44" s="5"/>
    </row>
    <row r="45" spans="1:25" ht="15.75" customHeight="1">
      <c r="F45" s="5"/>
      <c r="G45" s="5"/>
    </row>
    <row r="46" spans="1:25" ht="15.75" customHeight="1">
      <c r="F46" s="5"/>
      <c r="G46" s="5"/>
    </row>
    <row r="47" spans="1:25" ht="15.75" customHeight="1">
      <c r="F47" s="5"/>
      <c r="G47" s="5"/>
    </row>
    <row r="48" spans="1:25" ht="15.75" customHeight="1">
      <c r="F48" s="5"/>
      <c r="G48" s="5"/>
    </row>
    <row r="49" spans="6:7" ht="15.75" customHeight="1">
      <c r="F49" s="5"/>
      <c r="G49" s="5"/>
    </row>
    <row r="50" spans="6:7" ht="15.75" customHeight="1">
      <c r="F50" s="5"/>
      <c r="G50" s="5"/>
    </row>
    <row r="51" spans="6:7" ht="15.75" customHeight="1">
      <c r="F51" s="5"/>
      <c r="G51" s="5"/>
    </row>
    <row r="52" spans="6:7" ht="15.75" customHeight="1">
      <c r="F52" s="5"/>
      <c r="G52" s="5"/>
    </row>
    <row r="53" spans="6:7" ht="15.75" customHeight="1">
      <c r="F53" s="5"/>
      <c r="G53" s="5"/>
    </row>
    <row r="54" spans="6:7" ht="15.75" customHeight="1">
      <c r="F54" s="5"/>
      <c r="G54" s="5"/>
    </row>
    <row r="55" spans="6:7" ht="15.75" customHeight="1">
      <c r="F55" s="5"/>
      <c r="G55" s="5"/>
    </row>
    <row r="56" spans="6:7" ht="15.75" customHeight="1">
      <c r="F56" s="5"/>
      <c r="G56" s="5"/>
    </row>
    <row r="57" spans="6:7" ht="15.75" customHeight="1">
      <c r="F57" s="5"/>
      <c r="G57" s="5"/>
    </row>
    <row r="58" spans="6:7" ht="15.75" customHeight="1">
      <c r="F58" s="5"/>
      <c r="G58" s="5"/>
    </row>
    <row r="59" spans="6:7" ht="15.75" customHeight="1">
      <c r="F59" s="5"/>
      <c r="G59" s="5"/>
    </row>
    <row r="60" spans="6:7" ht="15.75" customHeight="1">
      <c r="F60" s="5"/>
      <c r="G60" s="5"/>
    </row>
    <row r="61" spans="6:7" ht="15.75" customHeight="1">
      <c r="F61" s="5"/>
      <c r="G61" s="5"/>
    </row>
    <row r="62" spans="6:7" ht="15.75" customHeight="1">
      <c r="F62" s="5"/>
      <c r="G62" s="5"/>
    </row>
    <row r="63" spans="6:7" ht="15.75" customHeight="1">
      <c r="F63" s="5"/>
      <c r="G63" s="5"/>
    </row>
    <row r="64" spans="6:7" ht="15.75" customHeight="1">
      <c r="F64" s="5"/>
      <c r="G64" s="5"/>
    </row>
    <row r="65" spans="6:7" ht="15.75" customHeight="1">
      <c r="F65" s="5"/>
      <c r="G65" s="5"/>
    </row>
    <row r="66" spans="6:7" ht="15.75" customHeight="1">
      <c r="F66" s="5"/>
      <c r="G66" s="5"/>
    </row>
    <row r="67" spans="6:7" ht="15.75" customHeight="1">
      <c r="F67" s="5"/>
      <c r="G67" s="5"/>
    </row>
    <row r="68" spans="6:7" ht="15.75" customHeight="1">
      <c r="F68" s="5"/>
      <c r="G68" s="5"/>
    </row>
    <row r="69" spans="6:7" ht="15.75" customHeight="1">
      <c r="F69" s="5"/>
      <c r="G69" s="5"/>
    </row>
    <row r="70" spans="6:7" ht="15.75" customHeight="1">
      <c r="F70" s="5"/>
      <c r="G70" s="5"/>
    </row>
    <row r="71" spans="6:7" ht="15.75" customHeight="1">
      <c r="F71" s="5"/>
      <c r="G71" s="5"/>
    </row>
    <row r="72" spans="6:7" ht="15.75" customHeight="1">
      <c r="F72" s="5"/>
      <c r="G72" s="5"/>
    </row>
    <row r="73" spans="6:7" ht="15.75" customHeight="1">
      <c r="F73" s="5"/>
      <c r="G73" s="5"/>
    </row>
    <row r="74" spans="6:7" ht="15.75" customHeight="1">
      <c r="F74" s="5"/>
      <c r="G74" s="5"/>
    </row>
    <row r="75" spans="6:7" ht="15.75" customHeight="1">
      <c r="F75" s="5"/>
      <c r="G75" s="5"/>
    </row>
    <row r="76" spans="6:7" ht="15.75" customHeight="1">
      <c r="F76" s="5"/>
      <c r="G76" s="5"/>
    </row>
    <row r="77" spans="6:7" ht="15.75" customHeight="1">
      <c r="F77" s="5"/>
      <c r="G77" s="5"/>
    </row>
    <row r="78" spans="6:7" ht="15.75" customHeight="1">
      <c r="F78" s="5"/>
      <c r="G78" s="5"/>
    </row>
    <row r="79" spans="6:7" ht="15.75" customHeight="1">
      <c r="F79" s="5"/>
      <c r="G79" s="5"/>
    </row>
    <row r="80" spans="6:7" ht="15.75" customHeight="1">
      <c r="F80" s="5"/>
      <c r="G80" s="5"/>
    </row>
    <row r="81" spans="6:7" ht="15.75" customHeight="1">
      <c r="F81" s="5"/>
      <c r="G81" s="5"/>
    </row>
    <row r="82" spans="6:7" ht="15.75" customHeight="1">
      <c r="F82" s="5"/>
      <c r="G82" s="5"/>
    </row>
    <row r="83" spans="6:7" ht="15.75" customHeight="1">
      <c r="F83" s="5"/>
      <c r="G83" s="5"/>
    </row>
    <row r="84" spans="6:7" ht="15.75" customHeight="1">
      <c r="F84" s="5"/>
      <c r="G84" s="5"/>
    </row>
    <row r="85" spans="6:7" ht="15.75" customHeight="1">
      <c r="F85" s="5"/>
      <c r="G85" s="5"/>
    </row>
    <row r="86" spans="6:7" ht="15.75" customHeight="1">
      <c r="F86" s="5"/>
      <c r="G86" s="5"/>
    </row>
    <row r="87" spans="6:7" ht="15.75" customHeight="1">
      <c r="F87" s="5"/>
      <c r="G87" s="5"/>
    </row>
    <row r="88" spans="6:7" ht="15.75" customHeight="1">
      <c r="F88" s="5"/>
      <c r="G88" s="5"/>
    </row>
    <row r="89" spans="6:7" ht="15.75" customHeight="1">
      <c r="F89" s="5"/>
      <c r="G89" s="5"/>
    </row>
    <row r="90" spans="6:7" ht="15.75" customHeight="1">
      <c r="F90" s="5"/>
      <c r="G90" s="5"/>
    </row>
    <row r="91" spans="6:7" ht="15.75" customHeight="1">
      <c r="F91" s="5"/>
      <c r="G91" s="5"/>
    </row>
    <row r="92" spans="6:7" ht="15.75" customHeight="1">
      <c r="F92" s="5"/>
      <c r="G92" s="5"/>
    </row>
    <row r="93" spans="6:7" ht="15.75" customHeight="1">
      <c r="F93" s="5"/>
      <c r="G93" s="5"/>
    </row>
    <row r="94" spans="6:7" ht="15.75" customHeight="1">
      <c r="F94" s="5"/>
      <c r="G94" s="5"/>
    </row>
    <row r="95" spans="6:7" ht="15.75" customHeight="1">
      <c r="F95" s="5"/>
      <c r="G95" s="5"/>
    </row>
    <row r="96" spans="6:7" ht="15.75" customHeight="1">
      <c r="F96" s="5"/>
      <c r="G96" s="5"/>
    </row>
    <row r="97" spans="6:7" ht="15.75" customHeight="1">
      <c r="F97" s="5"/>
      <c r="G97" s="5"/>
    </row>
    <row r="98" spans="6:7" ht="15.75" customHeight="1">
      <c r="F98" s="5"/>
      <c r="G98" s="5"/>
    </row>
    <row r="99" spans="6:7" ht="15.75" customHeight="1">
      <c r="F99" s="5"/>
      <c r="G99" s="5"/>
    </row>
    <row r="100" spans="6:7" ht="15.75" customHeight="1">
      <c r="F100" s="5"/>
      <c r="G100" s="5"/>
    </row>
    <row r="101" spans="6:7" ht="15.75" customHeight="1">
      <c r="F101" s="5"/>
      <c r="G101" s="5"/>
    </row>
    <row r="102" spans="6:7" ht="15.75" customHeight="1">
      <c r="F102" s="5"/>
      <c r="G102" s="5"/>
    </row>
    <row r="103" spans="6:7" ht="15.75" customHeight="1">
      <c r="F103" s="5"/>
      <c r="G103" s="5"/>
    </row>
    <row r="104" spans="6:7" ht="15.75" customHeight="1">
      <c r="F104" s="5"/>
      <c r="G104" s="5"/>
    </row>
    <row r="105" spans="6:7" ht="15.75" customHeight="1">
      <c r="F105" s="5"/>
      <c r="G105" s="5"/>
    </row>
    <row r="106" spans="6:7" ht="15.75" customHeight="1">
      <c r="F106" s="5"/>
      <c r="G106" s="5"/>
    </row>
    <row r="107" spans="6:7" ht="15.75" customHeight="1">
      <c r="F107" s="5"/>
      <c r="G107" s="5"/>
    </row>
    <row r="108" spans="6:7" ht="15.75" customHeight="1">
      <c r="F108" s="5"/>
      <c r="G108" s="5"/>
    </row>
    <row r="109" spans="6:7" ht="15.75" customHeight="1">
      <c r="F109" s="5"/>
      <c r="G109" s="5"/>
    </row>
    <row r="110" spans="6:7" ht="15.75" customHeight="1">
      <c r="F110" s="5"/>
      <c r="G110" s="5"/>
    </row>
    <row r="111" spans="6:7" ht="15.75" customHeight="1">
      <c r="F111" s="5"/>
      <c r="G111" s="5"/>
    </row>
    <row r="112" spans="6:7" ht="15.75" customHeight="1">
      <c r="F112" s="5"/>
      <c r="G112" s="5"/>
    </row>
    <row r="113" spans="6:7" ht="15.75" customHeight="1">
      <c r="F113" s="5"/>
      <c r="G113" s="5"/>
    </row>
    <row r="114" spans="6:7" ht="15.75" customHeight="1">
      <c r="F114" s="5"/>
      <c r="G114" s="5"/>
    </row>
    <row r="115" spans="6:7" ht="15.75" customHeight="1">
      <c r="F115" s="5"/>
      <c r="G115" s="5"/>
    </row>
    <row r="116" spans="6:7" ht="15.75" customHeight="1">
      <c r="F116" s="5"/>
      <c r="G116" s="5"/>
    </row>
    <row r="117" spans="6:7" ht="15.75" customHeight="1">
      <c r="F117" s="5"/>
      <c r="G117" s="5"/>
    </row>
    <row r="118" spans="6:7" ht="15.75" customHeight="1">
      <c r="F118" s="5"/>
      <c r="G118" s="5"/>
    </row>
    <row r="119" spans="6:7" ht="15.75" customHeight="1">
      <c r="F119" s="5"/>
      <c r="G119" s="5"/>
    </row>
    <row r="120" spans="6:7" ht="15.75" customHeight="1">
      <c r="F120" s="5"/>
      <c r="G120" s="5"/>
    </row>
    <row r="121" spans="6:7" ht="15.75" customHeight="1">
      <c r="F121" s="5"/>
      <c r="G121" s="5"/>
    </row>
    <row r="122" spans="6:7" ht="15.75" customHeight="1">
      <c r="F122" s="5"/>
      <c r="G122" s="5"/>
    </row>
    <row r="123" spans="6:7" ht="15.75" customHeight="1">
      <c r="F123" s="5"/>
      <c r="G123" s="5"/>
    </row>
    <row r="124" spans="6:7" ht="15.75" customHeight="1">
      <c r="F124" s="5"/>
      <c r="G124" s="5"/>
    </row>
    <row r="125" spans="6:7" ht="15.75" customHeight="1">
      <c r="F125" s="5"/>
      <c r="G125" s="5"/>
    </row>
    <row r="126" spans="6:7" ht="15.75" customHeight="1">
      <c r="F126" s="5"/>
      <c r="G126" s="5"/>
    </row>
    <row r="127" spans="6:7" ht="15.75" customHeight="1">
      <c r="F127" s="5"/>
      <c r="G127" s="5"/>
    </row>
    <row r="128" spans="6:7" ht="15.75" customHeight="1">
      <c r="F128" s="5"/>
      <c r="G128" s="5"/>
    </row>
    <row r="129" spans="6:7" ht="15.75" customHeight="1">
      <c r="F129" s="5"/>
      <c r="G129" s="5"/>
    </row>
    <row r="130" spans="6:7" ht="15.75" customHeight="1">
      <c r="F130" s="5"/>
      <c r="G130" s="5"/>
    </row>
    <row r="131" spans="6:7" ht="15.75" customHeight="1">
      <c r="F131" s="5"/>
      <c r="G131" s="5"/>
    </row>
    <row r="132" spans="6:7" ht="15.75" customHeight="1">
      <c r="F132" s="5"/>
      <c r="G132" s="5"/>
    </row>
    <row r="133" spans="6:7" ht="15.75" customHeight="1">
      <c r="F133" s="5"/>
      <c r="G133" s="5"/>
    </row>
    <row r="134" spans="6:7" ht="15.75" customHeight="1">
      <c r="F134" s="5"/>
      <c r="G134" s="5"/>
    </row>
    <row r="135" spans="6:7" ht="15.75" customHeight="1">
      <c r="F135" s="5"/>
      <c r="G135" s="5"/>
    </row>
    <row r="136" spans="6:7" ht="15.75" customHeight="1">
      <c r="F136" s="5"/>
      <c r="G136" s="5"/>
    </row>
    <row r="137" spans="6:7" ht="15.75" customHeight="1">
      <c r="F137" s="5"/>
      <c r="G137" s="5"/>
    </row>
    <row r="138" spans="6:7" ht="15.75" customHeight="1">
      <c r="F138" s="5"/>
      <c r="G138" s="5"/>
    </row>
    <row r="139" spans="6:7" ht="15.75" customHeight="1">
      <c r="F139" s="5"/>
      <c r="G139" s="5"/>
    </row>
    <row r="140" spans="6:7" ht="15.75" customHeight="1">
      <c r="F140" s="5"/>
      <c r="G140" s="5"/>
    </row>
    <row r="141" spans="6:7" ht="15.75" customHeight="1">
      <c r="F141" s="5"/>
      <c r="G141" s="5"/>
    </row>
    <row r="142" spans="6:7" ht="15.75" customHeight="1">
      <c r="F142" s="5"/>
      <c r="G142" s="5"/>
    </row>
    <row r="143" spans="6:7" ht="15.75" customHeight="1">
      <c r="F143" s="5"/>
      <c r="G143" s="5"/>
    </row>
    <row r="144" spans="6:7" ht="15.75" customHeight="1">
      <c r="F144" s="5"/>
      <c r="G144" s="5"/>
    </row>
    <row r="145" spans="6:7" ht="15.75" customHeight="1">
      <c r="F145" s="5"/>
      <c r="G145" s="5"/>
    </row>
    <row r="146" spans="6:7" ht="15.75" customHeight="1">
      <c r="F146" s="5"/>
      <c r="G146" s="5"/>
    </row>
    <row r="147" spans="6:7" ht="15.75" customHeight="1">
      <c r="F147" s="5"/>
      <c r="G147" s="5"/>
    </row>
    <row r="148" spans="6:7" ht="15.75" customHeight="1">
      <c r="F148" s="5"/>
      <c r="G148" s="5"/>
    </row>
    <row r="149" spans="6:7" ht="15.75" customHeight="1">
      <c r="F149" s="5"/>
      <c r="G149" s="5"/>
    </row>
    <row r="150" spans="6:7" ht="15.75" customHeight="1">
      <c r="F150" s="5"/>
      <c r="G150" s="5"/>
    </row>
    <row r="151" spans="6:7" ht="15.75" customHeight="1">
      <c r="F151" s="5"/>
      <c r="G151" s="5"/>
    </row>
    <row r="152" spans="6:7" ht="15.75" customHeight="1">
      <c r="F152" s="5"/>
      <c r="G152" s="5"/>
    </row>
    <row r="153" spans="6:7" ht="15.75" customHeight="1">
      <c r="F153" s="5"/>
      <c r="G153" s="5"/>
    </row>
    <row r="154" spans="6:7" ht="15.75" customHeight="1">
      <c r="F154" s="5"/>
      <c r="G154" s="5"/>
    </row>
    <row r="155" spans="6:7" ht="15.75" customHeight="1">
      <c r="F155" s="5"/>
      <c r="G155" s="5"/>
    </row>
    <row r="156" spans="6:7" ht="15.75" customHeight="1">
      <c r="F156" s="5"/>
      <c r="G156" s="5"/>
    </row>
    <row r="157" spans="6:7" ht="15.75" customHeight="1">
      <c r="F157" s="5"/>
      <c r="G157" s="5"/>
    </row>
    <row r="158" spans="6:7" ht="15.75" customHeight="1">
      <c r="F158" s="5"/>
      <c r="G158" s="5"/>
    </row>
    <row r="159" spans="6:7" ht="15.75" customHeight="1">
      <c r="F159" s="5"/>
      <c r="G159" s="5"/>
    </row>
    <row r="160" spans="6:7" ht="15.75" customHeight="1">
      <c r="F160" s="5"/>
      <c r="G160" s="5"/>
    </row>
    <row r="161" spans="6:7" ht="15.75" customHeight="1">
      <c r="F161" s="5"/>
      <c r="G161" s="5"/>
    </row>
    <row r="162" spans="6:7" ht="15.75" customHeight="1">
      <c r="F162" s="5"/>
      <c r="G162" s="5"/>
    </row>
    <row r="163" spans="6:7" ht="15.75" customHeight="1">
      <c r="F163" s="5"/>
      <c r="G163" s="5"/>
    </row>
    <row r="164" spans="6:7" ht="15.75" customHeight="1">
      <c r="F164" s="5"/>
      <c r="G164" s="5"/>
    </row>
    <row r="165" spans="6:7" ht="15.75" customHeight="1">
      <c r="F165" s="5"/>
      <c r="G165" s="5"/>
    </row>
    <row r="166" spans="6:7" ht="15.75" customHeight="1">
      <c r="F166" s="5"/>
      <c r="G166" s="5"/>
    </row>
    <row r="167" spans="6:7" ht="15.75" customHeight="1">
      <c r="F167" s="5"/>
      <c r="G167" s="5"/>
    </row>
    <row r="168" spans="6:7" ht="15.75" customHeight="1">
      <c r="F168" s="5"/>
      <c r="G168" s="5"/>
    </row>
    <row r="169" spans="6:7" ht="15.75" customHeight="1">
      <c r="F169" s="5"/>
      <c r="G169" s="5"/>
    </row>
    <row r="170" spans="6:7" ht="15.75" customHeight="1">
      <c r="F170" s="5"/>
      <c r="G170" s="5"/>
    </row>
    <row r="171" spans="6:7" ht="15.75" customHeight="1">
      <c r="F171" s="5"/>
      <c r="G171" s="5"/>
    </row>
    <row r="172" spans="6:7" ht="15.75" customHeight="1">
      <c r="F172" s="5"/>
      <c r="G172" s="5"/>
    </row>
    <row r="173" spans="6:7" ht="15.75" customHeight="1">
      <c r="F173" s="5"/>
      <c r="G173" s="5"/>
    </row>
    <row r="174" spans="6:7" ht="15.75" customHeight="1">
      <c r="F174" s="5"/>
      <c r="G174" s="5"/>
    </row>
    <row r="175" spans="6:7" ht="15.75" customHeight="1">
      <c r="F175" s="5"/>
      <c r="G175" s="5"/>
    </row>
    <row r="176" spans="6:7" ht="15.75" customHeight="1">
      <c r="F176" s="5"/>
      <c r="G176" s="5"/>
    </row>
    <row r="177" spans="6:7" ht="15.75" customHeight="1">
      <c r="F177" s="5"/>
      <c r="G177" s="5"/>
    </row>
    <row r="178" spans="6:7" ht="15.75" customHeight="1">
      <c r="F178" s="5"/>
      <c r="G178" s="5"/>
    </row>
    <row r="179" spans="6:7" ht="15.75" customHeight="1">
      <c r="F179" s="5"/>
      <c r="G179" s="5"/>
    </row>
    <row r="180" spans="6:7" ht="15.75" customHeight="1">
      <c r="F180" s="5"/>
      <c r="G180" s="5"/>
    </row>
    <row r="181" spans="6:7" ht="15.75" customHeight="1">
      <c r="F181" s="5"/>
      <c r="G181" s="5"/>
    </row>
    <row r="182" spans="6:7" ht="15.75" customHeight="1">
      <c r="F182" s="5"/>
      <c r="G182" s="5"/>
    </row>
    <row r="183" spans="6:7" ht="15.75" customHeight="1">
      <c r="F183" s="5"/>
      <c r="G183" s="5"/>
    </row>
    <row r="184" spans="6:7" ht="15.75" customHeight="1">
      <c r="F184" s="5"/>
      <c r="G184" s="5"/>
    </row>
    <row r="185" spans="6:7" ht="15.75" customHeight="1">
      <c r="F185" s="5"/>
      <c r="G185" s="5"/>
    </row>
    <row r="186" spans="6:7" ht="15.75" customHeight="1">
      <c r="F186" s="5"/>
      <c r="G186" s="5"/>
    </row>
    <row r="187" spans="6:7" ht="15.75" customHeight="1">
      <c r="F187" s="5"/>
      <c r="G187" s="5"/>
    </row>
    <row r="188" spans="6:7" ht="15.75" customHeight="1">
      <c r="F188" s="5"/>
      <c r="G188" s="5"/>
    </row>
    <row r="189" spans="6:7" ht="15.75" customHeight="1">
      <c r="F189" s="5"/>
      <c r="G189" s="5"/>
    </row>
    <row r="190" spans="6:7" ht="15.75" customHeight="1">
      <c r="F190" s="5"/>
      <c r="G190" s="5"/>
    </row>
    <row r="191" spans="6:7" ht="15.75" customHeight="1">
      <c r="F191" s="5"/>
      <c r="G191" s="5"/>
    </row>
    <row r="192" spans="6:7" ht="15.75" customHeight="1">
      <c r="F192" s="5"/>
      <c r="G192" s="5"/>
    </row>
    <row r="193" spans="6:7" ht="15.75" customHeight="1">
      <c r="F193" s="5"/>
      <c r="G193" s="5"/>
    </row>
    <row r="194" spans="6:7" ht="15.75" customHeight="1">
      <c r="F194" s="5"/>
      <c r="G194" s="5"/>
    </row>
    <row r="195" spans="6:7" ht="15.75" customHeight="1">
      <c r="F195" s="5"/>
      <c r="G195" s="5"/>
    </row>
    <row r="196" spans="6:7" ht="15.75" customHeight="1">
      <c r="F196" s="5"/>
      <c r="G196" s="5"/>
    </row>
    <row r="197" spans="6:7" ht="15.75" customHeight="1">
      <c r="F197" s="5"/>
      <c r="G197" s="5"/>
    </row>
    <row r="198" spans="6:7" ht="15.75" customHeight="1">
      <c r="F198" s="5"/>
      <c r="G198" s="5"/>
    </row>
    <row r="199" spans="6:7" ht="15.75" customHeight="1">
      <c r="F199" s="5"/>
      <c r="G199" s="5"/>
    </row>
    <row r="200" spans="6:7" ht="15.75" customHeight="1">
      <c r="F200" s="5"/>
      <c r="G200" s="5"/>
    </row>
    <row r="201" spans="6:7" ht="15.75" customHeight="1">
      <c r="F201" s="5"/>
      <c r="G201" s="5"/>
    </row>
    <row r="202" spans="6:7" ht="15.75" customHeight="1">
      <c r="F202" s="5"/>
      <c r="G202" s="5"/>
    </row>
    <row r="203" spans="6:7" ht="15.75" customHeight="1">
      <c r="F203" s="5"/>
      <c r="G203" s="5"/>
    </row>
    <row r="204" spans="6:7" ht="15.75" customHeight="1">
      <c r="F204" s="5"/>
      <c r="G204" s="5"/>
    </row>
    <row r="205" spans="6:7" ht="15.75" customHeight="1">
      <c r="F205" s="5"/>
      <c r="G205" s="5"/>
    </row>
    <row r="206" spans="6:7" ht="15.75" customHeight="1">
      <c r="F206" s="5"/>
      <c r="G206" s="5"/>
    </row>
    <row r="207" spans="6:7" ht="15.75" customHeight="1">
      <c r="F207" s="5"/>
      <c r="G207" s="5"/>
    </row>
    <row r="208" spans="6:7" ht="15.75" customHeight="1">
      <c r="F208" s="5"/>
      <c r="G208" s="5"/>
    </row>
    <row r="209" spans="6:7" ht="15.75" customHeight="1">
      <c r="F209" s="5"/>
      <c r="G209" s="5"/>
    </row>
    <row r="210" spans="6:7" ht="15.75" customHeight="1">
      <c r="F210" s="5"/>
      <c r="G210" s="5"/>
    </row>
    <row r="211" spans="6:7" ht="15.75" customHeight="1">
      <c r="F211" s="5"/>
      <c r="G211" s="5"/>
    </row>
    <row r="212" spans="6:7" ht="15.75" customHeight="1">
      <c r="F212" s="5"/>
      <c r="G212" s="5"/>
    </row>
    <row r="213" spans="6:7" ht="15.75" customHeight="1">
      <c r="F213" s="5"/>
      <c r="G213" s="5"/>
    </row>
    <row r="214" spans="6:7" ht="15.75" customHeight="1">
      <c r="F214" s="5"/>
      <c r="G214" s="5"/>
    </row>
    <row r="215" spans="6:7" ht="15.75" customHeight="1">
      <c r="F215" s="5"/>
      <c r="G215" s="5"/>
    </row>
    <row r="216" spans="6:7" ht="15.75" customHeight="1">
      <c r="F216" s="5"/>
      <c r="G216" s="5"/>
    </row>
    <row r="217" spans="6:7" ht="15.75" customHeight="1">
      <c r="F217" s="5"/>
      <c r="G217" s="5"/>
    </row>
    <row r="218" spans="6:7" ht="15.75" customHeight="1">
      <c r="F218" s="5"/>
      <c r="G218" s="5"/>
    </row>
    <row r="219" spans="6:7" ht="15.75" customHeight="1">
      <c r="F219" s="5"/>
      <c r="G219" s="5"/>
    </row>
    <row r="220" spans="6:7" ht="15.75" customHeight="1">
      <c r="F220" s="5"/>
      <c r="G220" s="5"/>
    </row>
    <row r="221" spans="6:7" ht="15.75" customHeight="1">
      <c r="F221" s="5"/>
      <c r="G221" s="5"/>
    </row>
    <row r="222" spans="6:7" ht="15.75" customHeight="1">
      <c r="F222" s="5"/>
      <c r="G222" s="5"/>
    </row>
    <row r="223" spans="6:7" ht="15.75" customHeight="1">
      <c r="F223" s="5"/>
      <c r="G223" s="5"/>
    </row>
    <row r="224" spans="6:7" ht="15.75" customHeight="1">
      <c r="F224" s="5"/>
      <c r="G224" s="5"/>
    </row>
    <row r="225" spans="6:7" ht="15.75" customHeight="1">
      <c r="F225" s="5"/>
      <c r="G225" s="5"/>
    </row>
    <row r="226" spans="6:7" ht="15.75" customHeight="1">
      <c r="F226" s="5"/>
      <c r="G226" s="5"/>
    </row>
    <row r="227" spans="6:7" ht="15.75" customHeight="1">
      <c r="F227" s="5"/>
      <c r="G227" s="5"/>
    </row>
    <row r="228" spans="6:7" ht="15.75" customHeight="1">
      <c r="F228" s="5"/>
      <c r="G228" s="5"/>
    </row>
    <row r="229" spans="6:7" ht="15.75" customHeight="1">
      <c r="F229" s="5"/>
      <c r="G229" s="5"/>
    </row>
    <row r="230" spans="6:7" ht="15.75" customHeight="1">
      <c r="F230" s="5"/>
      <c r="G230" s="5"/>
    </row>
    <row r="231" spans="6:7" ht="15.75" customHeight="1">
      <c r="F231" s="5"/>
      <c r="G231" s="5"/>
    </row>
    <row r="232" spans="6:7" ht="15.75" customHeight="1">
      <c r="F232" s="5"/>
      <c r="G232" s="5"/>
    </row>
    <row r="233" spans="6:7" ht="15.75" customHeight="1">
      <c r="F233" s="5"/>
      <c r="G233" s="5"/>
    </row>
    <row r="234" spans="6:7" ht="15.75" customHeight="1">
      <c r="F234" s="5"/>
      <c r="G234" s="5"/>
    </row>
    <row r="235" spans="6:7" ht="15.75" customHeight="1">
      <c r="F235" s="5"/>
      <c r="G235" s="5"/>
    </row>
    <row r="236" spans="6:7" ht="15.75" customHeight="1">
      <c r="F236" s="5"/>
      <c r="G236" s="5"/>
    </row>
    <row r="237" spans="6:7" ht="15.75" customHeight="1">
      <c r="F237" s="5"/>
      <c r="G237" s="5"/>
    </row>
    <row r="238" spans="6:7" ht="15.75" customHeight="1">
      <c r="F238" s="5"/>
      <c r="G238" s="5"/>
    </row>
    <row r="239" spans="6:7" ht="15.75" customHeight="1">
      <c r="F239" s="5"/>
      <c r="G239" s="5"/>
    </row>
    <row r="240" spans="6:7" ht="15.75" customHeight="1">
      <c r="F240" s="5"/>
      <c r="G240" s="5"/>
    </row>
    <row r="241" spans="6:7" ht="15.75" customHeight="1">
      <c r="F241" s="5"/>
      <c r="G241" s="5"/>
    </row>
    <row r="242" spans="6:7" ht="15.75" customHeight="1">
      <c r="F242" s="5"/>
      <c r="G242" s="5"/>
    </row>
    <row r="243" spans="6:7" ht="15.75" customHeight="1"/>
    <row r="244" spans="6:7" ht="15.75" customHeight="1"/>
    <row r="245" spans="6:7" ht="15.75" customHeight="1"/>
    <row r="246" spans="6:7" ht="15.75" customHeight="1"/>
    <row r="247" spans="6:7" ht="15.75" customHeight="1"/>
    <row r="248" spans="6:7" ht="15.75" customHeight="1"/>
    <row r="249" spans="6:7" ht="15.75" customHeight="1"/>
    <row r="250" spans="6:7" ht="15.75" customHeight="1"/>
    <row r="251" spans="6:7" ht="15.75" customHeight="1"/>
    <row r="252" spans="6:7" ht="15.75" customHeight="1"/>
    <row r="253" spans="6:7" ht="15.75" customHeight="1"/>
    <row r="254" spans="6:7" ht="15.75" customHeight="1"/>
    <row r="255" spans="6:7" ht="15.75" customHeight="1"/>
    <row r="256" spans="6: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6">
    <mergeCell ref="A1:B3"/>
    <mergeCell ref="C3:F3"/>
    <mergeCell ref="A4:B4"/>
    <mergeCell ref="C4:G4"/>
    <mergeCell ref="C1:F1"/>
    <mergeCell ref="C2:F2"/>
    <mergeCell ref="A5:B5"/>
    <mergeCell ref="C5:G5"/>
    <mergeCell ref="A6:B6"/>
    <mergeCell ref="C6:G6"/>
    <mergeCell ref="A7:B7"/>
    <mergeCell ref="C7:G7"/>
    <mergeCell ref="A8:G8"/>
    <mergeCell ref="A9:G9"/>
    <mergeCell ref="A10:C10"/>
    <mergeCell ref="A11:C11"/>
    <mergeCell ref="A12:C12"/>
    <mergeCell ref="A15:C15"/>
    <mergeCell ref="A16:C16"/>
    <mergeCell ref="A17:C17"/>
    <mergeCell ref="J18:N18"/>
    <mergeCell ref="A18:C18"/>
    <mergeCell ref="A42:C42"/>
    <mergeCell ref="A32:C32"/>
    <mergeCell ref="A33:C33"/>
    <mergeCell ref="A34:B35"/>
    <mergeCell ref="C34:G35"/>
    <mergeCell ref="A37:G37"/>
    <mergeCell ref="A40:C40"/>
    <mergeCell ref="F41:G41"/>
    <mergeCell ref="A13:C13"/>
    <mergeCell ref="A29:C29"/>
    <mergeCell ref="A30:C30"/>
    <mergeCell ref="A31:C31"/>
    <mergeCell ref="A41:C41"/>
    <mergeCell ref="A24:C24"/>
    <mergeCell ref="A25:C25"/>
    <mergeCell ref="A26:C26"/>
    <mergeCell ref="A27:C27"/>
    <mergeCell ref="A28:C28"/>
    <mergeCell ref="A19:C19"/>
    <mergeCell ref="A20:C20"/>
    <mergeCell ref="A21:C21"/>
    <mergeCell ref="A22:C22"/>
    <mergeCell ref="A23:C23"/>
    <mergeCell ref="A14:C14"/>
  </mergeCells>
  <printOptions horizontalCentered="1" verticalCentered="1"/>
  <pageMargins left="0.51181102362204722" right="0.19685039370078741" top="0" bottom="0.35433070866141736" header="0" footer="0"/>
  <pageSetup scale="69" orientation="portrait" r:id="rId1"/>
  <headerFooter>
    <oddFooter>&amp;C_________________________________________________________________________________________________________
&amp;12 &amp;K0020601a. Avenida 8-34 Residenciales Joya De Palencia, Palencia, Guatemala. Tels. 54733871 &amp;K01+000/ 4020-2271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INFORME1 (2)</vt:lpstr>
      <vt:lpstr>INFORME</vt:lpstr>
      <vt:lpstr>PROCTOR</vt:lpstr>
      <vt:lpstr>DENSIDADES</vt:lpstr>
      <vt:lpstr>DENSIDADES!Área_de_impresión</vt:lpstr>
      <vt:lpstr>INFORME!Área_de_impresión</vt:lpstr>
      <vt:lpstr>'INFORME1 (2)'!Área_de_impresión</vt:lpstr>
      <vt:lpstr>PROCTOR!Área_de_impresión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COBIGSA</dc:creator>
  <cp:lastModifiedBy>Fernando Vicente</cp:lastModifiedBy>
  <cp:lastPrinted>2025-10-01T18:39:20Z</cp:lastPrinted>
  <dcterms:created xsi:type="dcterms:W3CDTF">2016-11-23T15:29:35Z</dcterms:created>
  <dcterms:modified xsi:type="dcterms:W3CDTF">2025-10-01T18:45:17Z</dcterms:modified>
</cp:coreProperties>
</file>