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trlProps/ctrlProp2.xml" ContentType="application/vnd.ms-excel.controlproperties+xml"/>
  <Override PartName="/xl/drawings/drawing4.xml" ContentType="application/vnd.openxmlformats-officedocument.drawing+xml"/>
  <Override PartName="/xl/ctrlProps/ctrlProp3.xml" ContentType="application/vnd.ms-excel.controlproperties+xml"/>
  <Override PartName="/xl/drawings/drawing5.xml" ContentType="application/vnd.openxmlformats-officedocument.drawing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erna\OneDrive\Desktop\PROYECTOS\OTTONIEL EDELMAN (SUNULITO)\11.-AMPLIACION SISTEMA DE ALCANTARILLADO ALDEA SAN LORENCITO, ZUNILITO\"/>
    </mc:Choice>
  </mc:AlternateContent>
  <xr:revisionPtr revIDLastSave="0" documentId="13_ncr:1_{D710A675-7789-4D72-858E-77482F8A50F2}" xr6:coauthVersionLast="47" xr6:coauthVersionMax="47" xr10:uidLastSave="{00000000-0000-0000-0000-000000000000}"/>
  <bookViews>
    <workbookView xWindow="-120" yWindow="-120" windowWidth="29040" windowHeight="15720" tabRatio="894" activeTab="4" xr2:uid="{00000000-000D-0000-FFFF-FFFF00000000}"/>
  </bookViews>
  <sheets>
    <sheet name="INFORME" sheetId="221" r:id="rId1"/>
    <sheet name="CONEXIOINES" sheetId="234" r:id="rId2"/>
    <sheet name="RODADURA" sheetId="279" r:id="rId3"/>
    <sheet name="POZO" sheetId="280" r:id="rId4"/>
    <sheet name="GRADAS" sheetId="281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\0" localSheetId="1">#REF!</definedName>
    <definedName name="\0" localSheetId="4">#REF!</definedName>
    <definedName name="\0" localSheetId="3">#REF!</definedName>
    <definedName name="\0" localSheetId="2">#REF!</definedName>
    <definedName name="\0">#REF!</definedName>
    <definedName name="\A">[1]LIMITE!$S$1:$S$2</definedName>
    <definedName name="__123Graph_A" hidden="1">[2]Individuales!$I$26:$I$62</definedName>
    <definedName name="__123Graph_X" hidden="1">[2]Individuales!#REF!</definedName>
    <definedName name="__v1" localSheetId="1">#REF!</definedName>
    <definedName name="__v1" localSheetId="4">#REF!</definedName>
    <definedName name="__v1" localSheetId="3">#REF!</definedName>
    <definedName name="__v1" localSheetId="2">#REF!</definedName>
    <definedName name="__v1">#REF!</definedName>
    <definedName name="_PR100" localSheetId="0">'[3]Soporte Cargas'!$AD$57</definedName>
    <definedName name="_PR100">'[4]Soporte Cargas'!$AD$57</definedName>
    <definedName name="_PR60" localSheetId="0">'[3]Soporte Cargas'!$AD$56</definedName>
    <definedName name="_PR60">'[4]Soporte Cargas'!$AD$56</definedName>
    <definedName name="_v1" localSheetId="1">#REF!</definedName>
    <definedName name="_v1" localSheetId="4">#REF!</definedName>
    <definedName name="_v1" localSheetId="0">#REF!</definedName>
    <definedName name="_v1" localSheetId="3">#REF!</definedName>
    <definedName name="_v1" localSheetId="2">#REF!</definedName>
    <definedName name="_v1">#REF!</definedName>
    <definedName name="A" localSheetId="1">Scheduled_Payment+Extra_Payment</definedName>
    <definedName name="A" localSheetId="4">Scheduled_Payment+Extra_Payment</definedName>
    <definedName name="A" localSheetId="0">Scheduled_Payment+Extra_Payment</definedName>
    <definedName name="A" localSheetId="3">Scheduled_Payment+Extra_Payment</definedName>
    <definedName name="A" localSheetId="2">Scheduled_Payment+Extra_Payment</definedName>
    <definedName name="A">Scheduled_Payment+Extra_Payment</definedName>
    <definedName name="A_impresión_IM" localSheetId="1">#REF!</definedName>
    <definedName name="A_impresión_IM" localSheetId="4">#REF!</definedName>
    <definedName name="A_impresión_IM" localSheetId="0">#REF!</definedName>
    <definedName name="A_impresión_IM" localSheetId="3">#REF!</definedName>
    <definedName name="A_impresión_IM" localSheetId="2">#REF!</definedName>
    <definedName name="A_impresión_IM">#REF!</definedName>
    <definedName name="AA" localSheetId="1">Scheduled_Payment+Extra_Payment</definedName>
    <definedName name="AA" localSheetId="4">Scheduled_Payment+Extra_Payment</definedName>
    <definedName name="AA" localSheetId="0">Scheduled_Payment+Extra_Payment</definedName>
    <definedName name="AA" localSheetId="3">Scheduled_Payment+Extra_Payment</definedName>
    <definedName name="AA" localSheetId="2">Scheduled_Payment+Extra_Payment</definedName>
    <definedName name="AA">Scheduled_Payment+Extra_Payment</definedName>
    <definedName name="Adherencia">#N/A</definedName>
    <definedName name="_xlnm.Print_Area" localSheetId="1">CONEXIOINES!$A$1:$K$38</definedName>
    <definedName name="_xlnm.Print_Area" localSheetId="4">GRADAS!$A$1:$K$38</definedName>
    <definedName name="_xlnm.Print_Area" localSheetId="0">INFORME!$A$1:$K$39</definedName>
    <definedName name="_xlnm.Print_Area" localSheetId="3">POZO!$A$1:$K$38</definedName>
    <definedName name="_xlnm.Print_Area" localSheetId="2">RODADURA!$A$1:$K$38</definedName>
    <definedName name="as" localSheetId="1">[5]!borrado</definedName>
    <definedName name="as" localSheetId="4">[5]!borrado</definedName>
    <definedName name="as" localSheetId="3">[5]!borrado</definedName>
    <definedName name="as" localSheetId="2">[5]!borrado</definedName>
    <definedName name="as">[5]!borrado</definedName>
    <definedName name="ASDASDA" localSheetId="1">#REF!</definedName>
    <definedName name="ASDASDA" localSheetId="4">#REF!</definedName>
    <definedName name="ASDASDA" localSheetId="3">#REF!</definedName>
    <definedName name="ASDASDA" localSheetId="2">#REF!</definedName>
    <definedName name="ASDASDA">#REF!</definedName>
    <definedName name="b" localSheetId="1">#REF!</definedName>
    <definedName name="b" localSheetId="4">#REF!</definedName>
    <definedName name="b" localSheetId="3">#REF!</definedName>
    <definedName name="b" localSheetId="2">#REF!</definedName>
    <definedName name="b">#REF!</definedName>
    <definedName name="BA" localSheetId="1">#REF!</definedName>
    <definedName name="BA" localSheetId="4">#REF!</definedName>
    <definedName name="BA" localSheetId="3">#REF!</definedName>
    <definedName name="BA" localSheetId="2">#REF!</definedName>
    <definedName name="BA">#REF!</definedName>
    <definedName name="Beg_Bal" localSheetId="1">#REF!</definedName>
    <definedName name="Beg_Bal" localSheetId="4">#REF!</definedName>
    <definedName name="Beg_Bal" localSheetId="3">#REF!</definedName>
    <definedName name="Beg_Bal" localSheetId="2">#REF!</definedName>
    <definedName name="Beg_Bal">#REF!</definedName>
    <definedName name="Boulevard">#N/A</definedName>
    <definedName name="bR" localSheetId="1">Scheduled_Payment+Extra_Payment</definedName>
    <definedName name="bR" localSheetId="4">Scheduled_Payment+Extra_Payment</definedName>
    <definedName name="bR" localSheetId="0">Scheduled_Payment+Extra_Payment</definedName>
    <definedName name="bR" localSheetId="3">Scheduled_Payment+Extra_Payment</definedName>
    <definedName name="bR" localSheetId="2">Scheduled_Payment+Extra_Payment</definedName>
    <definedName name="bR">Scheduled_Payment+Extra_Payment</definedName>
    <definedName name="Bulk" localSheetId="1">#REF!</definedName>
    <definedName name="Bulk" localSheetId="4">#REF!</definedName>
    <definedName name="Bulk" localSheetId="0">#REF!</definedName>
    <definedName name="Bulk" localSheetId="3">#REF!</definedName>
    <definedName name="Bulk" localSheetId="2">#REF!</definedName>
    <definedName name="Bulk">#REF!</definedName>
    <definedName name="Danilo" localSheetId="1">#REF!</definedName>
    <definedName name="Danilo" localSheetId="4">#REF!</definedName>
    <definedName name="Danilo" localSheetId="3">#REF!</definedName>
    <definedName name="Danilo" localSheetId="2">#REF!</definedName>
    <definedName name="Danilo">#REF!</definedName>
    <definedName name="dasdsd" localSheetId="1">#REF!</definedName>
    <definedName name="dasdsd" localSheetId="4">#REF!</definedName>
    <definedName name="dasdsd" localSheetId="3">#REF!</definedName>
    <definedName name="dasdsd" localSheetId="2">#REF!</definedName>
    <definedName name="dasdsd">#REF!</definedName>
    <definedName name="Data" localSheetId="1">#REF!</definedName>
    <definedName name="Data" localSheetId="4">#REF!</definedName>
    <definedName name="Data" localSheetId="3">#REF!</definedName>
    <definedName name="Data" localSheetId="2">#REF!</definedName>
    <definedName name="Data">#REF!</definedName>
    <definedName name="dato2" localSheetId="1">#REF!,#REF!,#REF!,#REF!,#REF!,#REF!,#REF!</definedName>
    <definedName name="dato2" localSheetId="4">#REF!,#REF!,#REF!,#REF!,#REF!,#REF!,#REF!</definedName>
    <definedName name="dato2" localSheetId="0">#REF!,#REF!,#REF!,#REF!,#REF!,#REF!,#REF!</definedName>
    <definedName name="dato2" localSheetId="3">#REF!,#REF!,#REF!,#REF!,#REF!,#REF!,#REF!</definedName>
    <definedName name="dato2" localSheetId="2">#REF!,#REF!,#REF!,#REF!,#REF!,#REF!,#REF!</definedName>
    <definedName name="dato2">#REF!,#REF!,#REF!,#REF!,#REF!,#REF!,#REF!</definedName>
    <definedName name="Datos01">'[6]Planilla de Cálculo'!$E$5:$M$7,'[6]Planilla de Cálculo'!$R$5:$T$7,'[6]Planilla de Cálculo'!$H$8,'[6]Planilla de Cálculo'!$H$10:$I$16,'[6]Planilla de Cálculo'!$I$20:$T$22,'[6]Planilla de Cálculo'!$I$24:$T$24,'[6]Planilla de Cálculo'!$I$28:$T$29</definedName>
    <definedName name="dd">#N/A</definedName>
    <definedName name="DMax" localSheetId="0">'[3]Soporte Cargas'!$H$42</definedName>
    <definedName name="DMax">'[4]Soporte Cargas'!$H$42</definedName>
    <definedName name="dotrop" localSheetId="1">#REF!</definedName>
    <definedName name="dotrop" localSheetId="4">#REF!</definedName>
    <definedName name="dotrop" localSheetId="0">#REF!</definedName>
    <definedName name="dotrop" localSheetId="3">#REF!</definedName>
    <definedName name="dotrop" localSheetId="2">#REF!</definedName>
    <definedName name="dotrop">#REF!</definedName>
    <definedName name="ee" localSheetId="1">#REF!</definedName>
    <definedName name="ee" localSheetId="4">#REF!</definedName>
    <definedName name="ee" localSheetId="3">#REF!</definedName>
    <definedName name="ee" localSheetId="2">#REF!</definedName>
    <definedName name="ee">#REF!</definedName>
    <definedName name="EEE">#REF!</definedName>
    <definedName name="Efect" localSheetId="1">#REF!</definedName>
    <definedName name="Efect" localSheetId="4">#REF!</definedName>
    <definedName name="Efect" localSheetId="3">#REF!</definedName>
    <definedName name="Efect" localSheetId="2">#REF!</definedName>
    <definedName name="Efect">#REF!</definedName>
    <definedName name="Ejemplo_cajetin" localSheetId="1">Scheduled_Payment+Extra_Payment</definedName>
    <definedName name="Ejemplo_cajetin" localSheetId="4">Scheduled_Payment+Extra_Payment</definedName>
    <definedName name="Ejemplo_cajetin" localSheetId="0">Scheduled_Payment+Extra_Payment</definedName>
    <definedName name="Ejemplo_cajetin" localSheetId="3">Scheduled_Payment+Extra_Payment</definedName>
    <definedName name="Ejemplo_cajetin" localSheetId="2">Scheduled_Payment+Extra_Payment</definedName>
    <definedName name="Ejemplo_cajetin">Scheduled_Payment+Extra_Payment</definedName>
    <definedName name="End_Bal" localSheetId="1">#REF!</definedName>
    <definedName name="End_Bal" localSheetId="4">#REF!</definedName>
    <definedName name="End_Bal" localSheetId="0">#REF!</definedName>
    <definedName name="End_Bal" localSheetId="3">#REF!</definedName>
    <definedName name="End_Bal" localSheetId="2">#REF!</definedName>
    <definedName name="End_Bal">#REF!</definedName>
    <definedName name="Extra_Pay" localSheetId="1">#REF!</definedName>
    <definedName name="Extra_Pay" localSheetId="4">#REF!</definedName>
    <definedName name="Extra_Pay" localSheetId="3">#REF!</definedName>
    <definedName name="Extra_Pay" localSheetId="2">#REF!</definedName>
    <definedName name="Extra_Pay">#REF!</definedName>
    <definedName name="Full_Print" localSheetId="1">#REF!</definedName>
    <definedName name="Full_Print" localSheetId="4">#REF!</definedName>
    <definedName name="Full_Print" localSheetId="3">#REF!</definedName>
    <definedName name="Full_Print" localSheetId="2">#REF!</definedName>
    <definedName name="Full_Print">#REF!</definedName>
    <definedName name="g" localSheetId="1">[7]!borrado</definedName>
    <definedName name="g" localSheetId="4">[7]!borrado</definedName>
    <definedName name="g" localSheetId="3">[7]!borrado</definedName>
    <definedName name="g" localSheetId="2">[7]!borrado</definedName>
    <definedName name="g">[7]!borrado</definedName>
    <definedName name="GAG" localSheetId="1">#REF!</definedName>
    <definedName name="GAG" localSheetId="4">#REF!</definedName>
    <definedName name="GAG" localSheetId="0">#REF!</definedName>
    <definedName name="GAG" localSheetId="3">#REF!</definedName>
    <definedName name="GAG" localSheetId="2">#REF!</definedName>
    <definedName name="GAG">#REF!</definedName>
    <definedName name="GCA" localSheetId="1">#REF!</definedName>
    <definedName name="GCA" localSheetId="4">#REF!</definedName>
    <definedName name="GCA" localSheetId="3">#REF!</definedName>
    <definedName name="GCA" localSheetId="2">#REF!</definedName>
    <definedName name="GCA">#REF!</definedName>
    <definedName name="gfcd" localSheetId="1">#REF!</definedName>
    <definedName name="gfcd" localSheetId="4">#REF!</definedName>
    <definedName name="gfcd" localSheetId="3">#REF!</definedName>
    <definedName name="gfcd" localSheetId="2">#REF!</definedName>
    <definedName name="gfcd">#REF!</definedName>
    <definedName name="gg">#N/A</definedName>
    <definedName name="GGH" localSheetId="1" hidden="1">[2]Individuales!#REF!</definedName>
    <definedName name="GGH" localSheetId="4" hidden="1">[2]Individuales!#REF!</definedName>
    <definedName name="GGH" localSheetId="3" hidden="1">[2]Individuales!#REF!</definedName>
    <definedName name="GGH" localSheetId="2" hidden="1">[2]Individuales!#REF!</definedName>
    <definedName name="GGH" hidden="1">[2]Individuales!#REF!</definedName>
    <definedName name="GRANU" localSheetId="1">#REF!</definedName>
    <definedName name="GRANU" localSheetId="4">#REF!</definedName>
    <definedName name="GRANU" localSheetId="0">#REF!</definedName>
    <definedName name="GRANU" localSheetId="3">#REF!</definedName>
    <definedName name="GRANU" localSheetId="2">#REF!</definedName>
    <definedName name="GRANU">#REF!</definedName>
    <definedName name="Header_Row" localSheetId="1">ROW(#REF!)</definedName>
    <definedName name="Header_Row" localSheetId="4">ROW(#REF!)</definedName>
    <definedName name="Header_Row" localSheetId="3">ROW(#REF!)</definedName>
    <definedName name="Header_Row" localSheetId="2">ROW(#REF!)</definedName>
    <definedName name="Header_Row">ROW(#REF!)</definedName>
    <definedName name="HTML_CodePage" hidden="1">1252</definedName>
    <definedName name="HTML_Control" localSheetId="1" hidden="1">{"'Análisis Granulométrico '!$A$6:$C$10"}</definedName>
    <definedName name="HTML_Control" localSheetId="4" hidden="1">{"'Análisis Granulométrico '!$A$6:$C$10"}</definedName>
    <definedName name="HTML_Control" localSheetId="0" hidden="1">{"'Análisis Granulométrico '!$A$6:$C$10"}</definedName>
    <definedName name="HTML_Control" localSheetId="3" hidden="1">{"'Análisis Granulométrico '!$A$6:$C$10"}</definedName>
    <definedName name="HTML_Control" localSheetId="2" hidden="1">{"'Análisis Granulométrico '!$A$6:$C$10"}</definedName>
    <definedName name="HTML_Control" hidden="1">{"'Análisis Granulométrico '!$A$6:$C$10"}</definedName>
    <definedName name="HTML_Description" hidden="1">""</definedName>
    <definedName name="HTML_Email" hidden="1">""</definedName>
    <definedName name="HTML_Header" hidden="1">"Análisis Granulométrico"</definedName>
    <definedName name="HTML_LastUpdate" hidden="1">"02/02/2005"</definedName>
    <definedName name="HTML_LineAfter" hidden="1">FALSE</definedName>
    <definedName name="HTML_LineBefore" hidden="1">FALSE</definedName>
    <definedName name="HTML_Name" hidden="1">"Laboratorio de Hormingón"</definedName>
    <definedName name="HTML_OBDlg2" hidden="1">TRUE</definedName>
    <definedName name="HTML_OBDlg4" hidden="1">TRUE</definedName>
    <definedName name="HTML_OS" hidden="1">0</definedName>
    <definedName name="HTML_PathFile" hidden="1">"D:\04-05 Repavimentacion\HTML10.htm"</definedName>
    <definedName name="HTML_Title" hidden="1">"Planillas SMA10 E C-"</definedName>
    <definedName name="I_CBR_D_C">[8]Espesor!$F$10:$F$1292</definedName>
    <definedName name="I_CBR_D_D">[8]Espesor!$G$10:$G$1292</definedName>
    <definedName name="I_CBR_D_I">[8]Espesor!$E$10:$E$1292</definedName>
    <definedName name="I_CBR_I_C">[8]Espesor!$C$10:$C$1292</definedName>
    <definedName name="I_CBR_I_D">[8]Espesor!$D$10:$D$1292</definedName>
    <definedName name="I_CBR_I_I">[8]Espesor!$B$10:$B$1292</definedName>
    <definedName name="I_CBR_min">[8]Espesor!$H$10:$H$1292</definedName>
    <definedName name="I_CBR_STA">[8]Espesor!$A$10:$A$1292</definedName>
    <definedName name="II_CBR_D_C">[8]Espesor!$F$1292:$F$2162</definedName>
    <definedName name="II_CBR_D_D">[8]Espesor!$G$1292:$G$2162</definedName>
    <definedName name="II_CBR_D_I">[8]Espesor!$E$1292:$E$2162</definedName>
    <definedName name="II_CBR_I_C">[8]Espesor!$C$1292:$C$2162</definedName>
    <definedName name="II_CBR_I_D">[8]Espesor!$D$1292:$D$2162</definedName>
    <definedName name="II_CBR_I_I">[8]Espesor!$B$1292:$B$2162</definedName>
    <definedName name="II_CBR_min">[8]Espesor!$H$1292:$H$2162</definedName>
    <definedName name="II_CBR_STA">[8]Espesor!$A$1292:$A$2162</definedName>
    <definedName name="Inflamación">'[9]Inflam-Penet'!$F$25</definedName>
    <definedName name="Int" localSheetId="1">#REF!</definedName>
    <definedName name="Int" localSheetId="4">#REF!</definedName>
    <definedName name="Int" localSheetId="0">#REF!</definedName>
    <definedName name="Int" localSheetId="3">#REF!</definedName>
    <definedName name="Int" localSheetId="2">#REF!</definedName>
    <definedName name="Int">#REF!</definedName>
    <definedName name="Interest_Rate" localSheetId="1">#REF!</definedName>
    <definedName name="Interest_Rate" localSheetId="4">#REF!</definedName>
    <definedName name="Interest_Rate" localSheetId="3">#REF!</definedName>
    <definedName name="Interest_Rate" localSheetId="2">#REF!</definedName>
    <definedName name="Interest_Rate">#REF!</definedName>
    <definedName name="j">#N/A</definedName>
    <definedName name="keic" localSheetId="1">[5]!borrado</definedName>
    <definedName name="keic" localSheetId="4">[5]!borrado</definedName>
    <definedName name="keic" localSheetId="3">[5]!borrado</definedName>
    <definedName name="keic" localSheetId="2">[5]!borrado</definedName>
    <definedName name="keic">[5]!borrado</definedName>
    <definedName name="Last_Row">#N/A</definedName>
    <definedName name="LAUREN" localSheetId="1">[7]!borrado</definedName>
    <definedName name="LAUREN" localSheetId="4">[7]!borrado</definedName>
    <definedName name="LAUREN" localSheetId="3">[7]!borrado</definedName>
    <definedName name="LAUREN" localSheetId="2">[7]!borrado</definedName>
    <definedName name="LAUREN">[7]!borrado</definedName>
    <definedName name="Loan_Amount" localSheetId="1">#REF!</definedName>
    <definedName name="Loan_Amount" localSheetId="4">#REF!</definedName>
    <definedName name="Loan_Amount" localSheetId="0">#REF!</definedName>
    <definedName name="Loan_Amount" localSheetId="3">#REF!</definedName>
    <definedName name="Loan_Amount" localSheetId="2">#REF!</definedName>
    <definedName name="Loan_Amount">#REF!</definedName>
    <definedName name="Loan_Start" localSheetId="1">#REF!</definedName>
    <definedName name="Loan_Start" localSheetId="4">#REF!</definedName>
    <definedName name="Loan_Start" localSheetId="3">#REF!</definedName>
    <definedName name="Loan_Start" localSheetId="2">#REF!</definedName>
    <definedName name="Loan_Start">#REF!</definedName>
    <definedName name="Loan_Years" localSheetId="1">#REF!</definedName>
    <definedName name="Loan_Years" localSheetId="4">#REF!</definedName>
    <definedName name="Loan_Years" localSheetId="3">#REF!</definedName>
    <definedName name="Loan_Years" localSheetId="2">#REF!</definedName>
    <definedName name="Loan_Years">#REF!</definedName>
    <definedName name="mardceo" localSheetId="1">[10]!borrado</definedName>
    <definedName name="mardceo" localSheetId="4">[10]!borrado</definedName>
    <definedName name="mardceo" localSheetId="3">[10]!borrado</definedName>
    <definedName name="mardceo" localSheetId="2">[10]!borrado</definedName>
    <definedName name="mardceo">[10]!borrado</definedName>
    <definedName name="mariel" localSheetId="1">DATE(YEAR(CONEXIOINES!Loan_Start),MONTH(CONEXIOINES!Loan_Start)+Payment_Number,DAY(CONEXIOINES!Loan_Start))</definedName>
    <definedName name="mariel" localSheetId="4">DATE(YEAR(GRADAS!Loan_Start),MONTH(GRADAS!Loan_Start)+Payment_Number,DAY(GRADAS!Loan_Start))</definedName>
    <definedName name="mariel" localSheetId="0">DATE(YEAR(Loan_Start),MONTH(Loan_Start)+Payment_Number,DAY(Loan_Start))</definedName>
    <definedName name="mariel" localSheetId="3">DATE(YEAR(POZO!Loan_Start),MONTH(POZO!Loan_Start)+Payment_Number,DAY(POZO!Loan_Start))</definedName>
    <definedName name="mariel" localSheetId="2">DATE(YEAR(RODADURA!Loan_Start),MONTH(RODADURA!Loan_Start)+Payment_Number,DAY(RODADURA!Loan_Start))</definedName>
    <definedName name="mariel">DATE(YEAR(Loan_Start),MONTH(Loan_Start)+Payment_Number,DAY(Loan_Start))</definedName>
    <definedName name="Max">[9]Marshall!$V$17</definedName>
    <definedName name="Min">[9]Marshall!$U$17</definedName>
    <definedName name="MSeca">'[9]Gran. Nº 8'!$F$34</definedName>
    <definedName name="Num_Pmt_Per_Year" localSheetId="1">#REF!</definedName>
    <definedName name="Num_Pmt_Per_Year" localSheetId="4">#REF!</definedName>
    <definedName name="Num_Pmt_Per_Year" localSheetId="0">#REF!</definedName>
    <definedName name="Num_Pmt_Per_Year" localSheetId="3">#REF!</definedName>
    <definedName name="Num_Pmt_Per_Year" localSheetId="2">#REF!</definedName>
    <definedName name="Num_Pmt_Per_Year">#REF!</definedName>
    <definedName name="Number_of_Payments" localSheetId="1">MATCH(0.01,CONEXIOINES!End_Bal,-1)+1</definedName>
    <definedName name="Number_of_Payments" localSheetId="4">MATCH(0.01,GRADAS!End_Bal,-1)+1</definedName>
    <definedName name="Number_of_Payments" localSheetId="0">MATCH(0.01,INFORME!End_Bal,-1)+1</definedName>
    <definedName name="Number_of_Payments" localSheetId="3">MATCH(0.01,POZO!End_Bal,-1)+1</definedName>
    <definedName name="Number_of_Payments" localSheetId="2">MATCH(0.01,RODADURA!End_Bal,-1)+1</definedName>
    <definedName name="Number_of_Payments">MATCH(0.01,End_Bal,-1)+1</definedName>
    <definedName name="Pay_Date" localSheetId="1">#REF!</definedName>
    <definedName name="Pay_Date" localSheetId="4">#REF!</definedName>
    <definedName name="Pay_Date" localSheetId="0">#REF!</definedName>
    <definedName name="Pay_Date" localSheetId="3">#REF!</definedName>
    <definedName name="Pay_Date" localSheetId="2">#REF!</definedName>
    <definedName name="Pay_Date">#REF!</definedName>
    <definedName name="Pay_Num" localSheetId="1">#REF!</definedName>
    <definedName name="Pay_Num" localSheetId="4">#REF!</definedName>
    <definedName name="Pay_Num" localSheetId="3">#REF!</definedName>
    <definedName name="Pay_Num" localSheetId="2">#REF!</definedName>
    <definedName name="Pay_Num">#REF!</definedName>
    <definedName name="Payment_Date" localSheetId="1">DATE(YEAR(CONEXIOINES!Loan_Start),MONTH(CONEXIOINES!Loan_Start)+Payment_Number,DAY(CONEXIOINES!Loan_Start))</definedName>
    <definedName name="Payment_Date" localSheetId="4">DATE(YEAR(GRADAS!Loan_Start),MONTH(GRADAS!Loan_Start)+Payment_Number,DAY(GRADAS!Loan_Start))</definedName>
    <definedName name="Payment_Date" localSheetId="0">DATE(YEAR(Loan_Start),MONTH(Loan_Start)+Payment_Number,DAY(Loan_Start))</definedName>
    <definedName name="Payment_Date" localSheetId="3">DATE(YEAR(POZO!Loan_Start),MONTH(POZO!Loan_Start)+Payment_Number,DAY(POZO!Loan_Start))</definedName>
    <definedName name="Payment_Date" localSheetId="2">DATE(YEAR(RODADURA!Loan_Start),MONTH(RODADURA!Loan_Start)+Payment_Number,DAY(RODADURA!Loan_Start))</definedName>
    <definedName name="Payment_Date">DATE(YEAR(Loan_Start),MONTH(Loan_Start)+Payment_Number,DAY(Loan_Start))</definedName>
    <definedName name="Payment_Needed">"Pago necesario"</definedName>
    <definedName name="pe" localSheetId="1">[11]!borrado</definedName>
    <definedName name="pe" localSheetId="4">[11]!borrado</definedName>
    <definedName name="pe" localSheetId="3">[11]!borrado</definedName>
    <definedName name="pe" localSheetId="2">[11]!borrado</definedName>
    <definedName name="pe">[11]!borrado</definedName>
    <definedName name="PE_CA">'[9]PE - Picnómetro'!$H$33</definedName>
    <definedName name="PEAgg" localSheetId="1">#REF!</definedName>
    <definedName name="PEAgg" localSheetId="4">#REF!</definedName>
    <definedName name="PEAgg" localSheetId="0">#REF!</definedName>
    <definedName name="PEAgg" localSheetId="3">#REF!</definedName>
    <definedName name="PEAgg" localSheetId="2">#REF!</definedName>
    <definedName name="PEAgg">#REF!</definedName>
    <definedName name="Penetración">'[9]Inflam-Penet'!$J$37</definedName>
    <definedName name="Peso" localSheetId="0">'[12]Proctor 1'!$I$21</definedName>
    <definedName name="Peso">'[13]Proctor 1'!$I$21</definedName>
    <definedName name="Planas" localSheetId="1">#REF!</definedName>
    <definedName name="Planas" localSheetId="4">#REF!</definedName>
    <definedName name="Planas" localSheetId="0">#REF!</definedName>
    <definedName name="Planas" localSheetId="3">#REF!</definedName>
    <definedName name="Planas" localSheetId="2">#REF!</definedName>
    <definedName name="Planas">#REF!</definedName>
    <definedName name="po" localSheetId="1">[11]!borrado</definedName>
    <definedName name="po" localSheetId="4">[11]!borrado</definedName>
    <definedName name="po" localSheetId="3">[11]!borrado</definedName>
    <definedName name="po" localSheetId="2">[11]!borrado</definedName>
    <definedName name="po">[11]!borrado</definedName>
    <definedName name="pp" localSheetId="1">#REF!</definedName>
    <definedName name="pp" localSheetId="4">#REF!</definedName>
    <definedName name="pp" localSheetId="3">#REF!</definedName>
    <definedName name="pp" localSheetId="2">#REF!</definedName>
    <definedName name="pp">#REF!</definedName>
    <definedName name="PPrueba" localSheetId="1">#REF!</definedName>
    <definedName name="PPrueba" localSheetId="4">#REF!</definedName>
    <definedName name="PPrueba" localSheetId="3">#REF!</definedName>
    <definedName name="PPrueba" localSheetId="2">#REF!</definedName>
    <definedName name="PPrueba">#REF!</definedName>
    <definedName name="Princ" localSheetId="1">#REF!</definedName>
    <definedName name="Princ" localSheetId="4">#REF!</definedName>
    <definedName name="Princ" localSheetId="3">#REF!</definedName>
    <definedName name="Princ" localSheetId="2">#REF!</definedName>
    <definedName name="Princ">#REF!</definedName>
    <definedName name="Print_Area_Reset" localSheetId="1">OFFSET(CONEXIOINES!Full_Print,0,0,[0]!Last_Row)</definedName>
    <definedName name="Print_Area_Reset" localSheetId="4">OFFSET(GRADAS!Full_Print,0,0,[0]!Last_Row)</definedName>
    <definedName name="Print_Area_Reset" localSheetId="0">OFFSET(Full_Print,0,0,Last_Row)</definedName>
    <definedName name="Print_Area_Reset" localSheetId="3">OFFSET(POZO!Full_Print,0,0,[0]!Last_Row)</definedName>
    <definedName name="Print_Area_Reset" localSheetId="2">OFFSET(RODADURA!Full_Print,0,0,[0]!Last_Row)</definedName>
    <definedName name="Print_Area_Reset">OFFSET(Full_Print,0,0,Last_Row)</definedName>
    <definedName name="PSeco" localSheetId="1">#REF!</definedName>
    <definedName name="PSeco" localSheetId="4">#REF!</definedName>
    <definedName name="PSeco" localSheetId="0">#REF!</definedName>
    <definedName name="PSeco" localSheetId="3">#REF!</definedName>
    <definedName name="PSeco" localSheetId="2">#REF!</definedName>
    <definedName name="PSeco">#REF!</definedName>
    <definedName name="puto" localSheetId="1">[11]!borrado</definedName>
    <definedName name="puto" localSheetId="4">[11]!borrado</definedName>
    <definedName name="puto" localSheetId="3">[11]!borrado</definedName>
    <definedName name="puto" localSheetId="2">[11]!borrado</definedName>
    <definedName name="puto">[11]!borrado</definedName>
    <definedName name="RBulk" localSheetId="1">#REF!</definedName>
    <definedName name="RBulk" localSheetId="4">#REF!</definedName>
    <definedName name="RBulk" localSheetId="3">#REF!</definedName>
    <definedName name="RBulk" localSheetId="2">#REF!</definedName>
    <definedName name="RBulk">#REF!</definedName>
    <definedName name="Reimbursement">"Reembolso"</definedName>
    <definedName name="Remanente" localSheetId="1">#REF!</definedName>
    <definedName name="Remanente" localSheetId="4">#REF!</definedName>
    <definedName name="Remanente" localSheetId="0">#REF!</definedName>
    <definedName name="Remanente" localSheetId="3">#REF!</definedName>
    <definedName name="Remanente" localSheetId="2">#REF!</definedName>
    <definedName name="Remanente">#REF!</definedName>
    <definedName name="rer" localSheetId="1">#REF!</definedName>
    <definedName name="rer" localSheetId="4">#REF!</definedName>
    <definedName name="rer" localSheetId="3">#REF!</definedName>
    <definedName name="rer" localSheetId="2">#REF!</definedName>
    <definedName name="rer">#REF!</definedName>
    <definedName name="RTI">#N/A</definedName>
    <definedName name="s" localSheetId="1">#REF!</definedName>
    <definedName name="s" localSheetId="4">#REF!</definedName>
    <definedName name="s" localSheetId="0">#REF!</definedName>
    <definedName name="s" localSheetId="3">#REF!</definedName>
    <definedName name="s" localSheetId="2">#REF!</definedName>
    <definedName name="s">#REF!</definedName>
    <definedName name="Sched_Pay" localSheetId="1">#REF!</definedName>
    <definedName name="Sched_Pay" localSheetId="4">#REF!</definedName>
    <definedName name="Sched_Pay" localSheetId="3">#REF!</definedName>
    <definedName name="Sched_Pay" localSheetId="2">#REF!</definedName>
    <definedName name="Sched_Pay">#REF!</definedName>
    <definedName name="Scheduled_Extra_Payments" localSheetId="1">#REF!</definedName>
    <definedName name="Scheduled_Extra_Payments" localSheetId="4">#REF!</definedName>
    <definedName name="Scheduled_Extra_Payments" localSheetId="3">#REF!</definedName>
    <definedName name="Scheduled_Extra_Payments" localSheetId="2">#REF!</definedName>
    <definedName name="Scheduled_Extra_Payments">#REF!</definedName>
    <definedName name="Scheduled_Interest_Rate" localSheetId="1">#REF!</definedName>
    <definedName name="Scheduled_Interest_Rate" localSheetId="4">#REF!</definedName>
    <definedName name="Scheduled_Interest_Rate" localSheetId="3">#REF!</definedName>
    <definedName name="Scheduled_Interest_Rate" localSheetId="2">#REF!</definedName>
    <definedName name="Scheduled_Interest_Rate">#REF!</definedName>
    <definedName name="Scheduled_Monthly_Payment" localSheetId="1">#REF!</definedName>
    <definedName name="Scheduled_Monthly_Payment" localSheetId="4">#REF!</definedName>
    <definedName name="Scheduled_Monthly_Payment" localSheetId="3">#REF!</definedName>
    <definedName name="Scheduled_Monthly_Payment" localSheetId="2">#REF!</definedName>
    <definedName name="Scheduled_Monthly_Payment">#REF!</definedName>
    <definedName name="SER" localSheetId="1">#REF!</definedName>
    <definedName name="SER" localSheetId="4">#REF!</definedName>
    <definedName name="SER" localSheetId="3">#REF!</definedName>
    <definedName name="SER" localSheetId="2">#REF!</definedName>
    <definedName name="SER">#REF!</definedName>
    <definedName name="Solis" localSheetId="1">#REF!</definedName>
    <definedName name="Solis" localSheetId="4">#REF!</definedName>
    <definedName name="Solis" localSheetId="3">#REF!</definedName>
    <definedName name="Solis" localSheetId="2">#REF!</definedName>
    <definedName name="Solis">#REF!</definedName>
    <definedName name="SS" localSheetId="1">#REF!</definedName>
    <definedName name="SS" localSheetId="4">#REF!</definedName>
    <definedName name="SS" localSheetId="3">#REF!</definedName>
    <definedName name="SS" localSheetId="2">#REF!</definedName>
    <definedName name="SS">#REF!</definedName>
    <definedName name="Total_Interest" localSheetId="1">#REF!</definedName>
    <definedName name="Total_Interest" localSheetId="4">#REF!</definedName>
    <definedName name="Total_Interest" localSheetId="3">#REF!</definedName>
    <definedName name="Total_Interest" localSheetId="2">#REF!</definedName>
    <definedName name="Total_Interest">#REF!</definedName>
    <definedName name="Total_Pay" localSheetId="1">#REF!</definedName>
    <definedName name="Total_Pay" localSheetId="4">#REF!</definedName>
    <definedName name="Total_Pay" localSheetId="3">#REF!</definedName>
    <definedName name="Total_Pay" localSheetId="2">#REF!</definedName>
    <definedName name="Total_Pay">#REF!</definedName>
    <definedName name="Total_Payment" localSheetId="1">Scheduled_Payment+Extra_Payment</definedName>
    <definedName name="Total_Payment" localSheetId="4">Scheduled_Payment+Extra_Payment</definedName>
    <definedName name="Total_Payment" localSheetId="0">Scheduled_Payment+Extra_Payment</definedName>
    <definedName name="Total_Payment" localSheetId="3">Scheduled_Payment+Extra_Payment</definedName>
    <definedName name="Total_Payment" localSheetId="2">Scheduled_Payment+Extra_Payment</definedName>
    <definedName name="Total_Payment">Scheduled_Payment+Extra_Payment</definedName>
    <definedName name="tr" localSheetId="1">[11]!borrado</definedName>
    <definedName name="tr" localSheetId="4">[11]!borrado</definedName>
    <definedName name="tr" localSheetId="3">[11]!borrado</definedName>
    <definedName name="tr" localSheetId="2">[11]!borrado</definedName>
    <definedName name="tr">[11]!borrado</definedName>
    <definedName name="v" localSheetId="1">Scheduled_Payment+Extra_Payment</definedName>
    <definedName name="v" localSheetId="4">Scheduled_Payment+Extra_Payment</definedName>
    <definedName name="v" localSheetId="0">Scheduled_Payment+Extra_Payment</definedName>
    <definedName name="v" localSheetId="3">Scheduled_Payment+Extra_Payment</definedName>
    <definedName name="v" localSheetId="2">Scheduled_Payment+Extra_Payment</definedName>
    <definedName name="v">Scheduled_Payment+Extra_Payment</definedName>
    <definedName name="Values_Entered" localSheetId="1">IF(CONEXIOINES!Loan_Amount*CONEXIOINES!Interest_Rate*CONEXIOINES!Loan_Years*CONEXIOINES!Loan_Start&gt;0,1,0)</definedName>
    <definedName name="Values_Entered" localSheetId="4">IF(GRADAS!Loan_Amount*GRADAS!Interest_Rate*GRADAS!Loan_Years*GRADAS!Loan_Start&gt;0,1,0)</definedName>
    <definedName name="Values_Entered" localSheetId="0">IF(INFORME!Loan_Amount*Interest_Rate*Loan_Years*Loan_Start&gt;0,1,0)</definedName>
    <definedName name="Values_Entered" localSheetId="3">IF(POZO!Loan_Amount*POZO!Interest_Rate*POZO!Loan_Years*POZO!Loan_Start&gt;0,1,0)</definedName>
    <definedName name="Values_Entered" localSheetId="2">IF(RODADURA!Loan_Amount*RODADURA!Interest_Rate*RODADURA!Loan_Years*RODADURA!Loan_Start&gt;0,1,0)</definedName>
    <definedName name="Values_Entered">IF(Loan_Amount*Interest_Rate*Loan_Years*Loan_Start&gt;0,1,0)</definedName>
    <definedName name="Vol" localSheetId="0">'[12]Proctor 1'!$E$21</definedName>
    <definedName name="Vol">'[13]Proctor 1'!$E$21</definedName>
    <definedName name="we" localSheetId="1">#REF!</definedName>
    <definedName name="we" localSheetId="4">#REF!</definedName>
    <definedName name="we" localSheetId="0">#REF!</definedName>
    <definedName name="we" localSheetId="3">#REF!</definedName>
    <definedName name="we" localSheetId="2">#REF!</definedName>
    <definedName name="we">#REF!</definedName>
    <definedName name="x" localSheetId="1">#REF!</definedName>
    <definedName name="x" localSheetId="4">#REF!</definedName>
    <definedName name="x" localSheetId="3">#REF!</definedName>
    <definedName name="x" localSheetId="2">#REF!</definedName>
    <definedName name="x">#REF!</definedName>
    <definedName name="xx" localSheetId="1">#REF!</definedName>
    <definedName name="xx" localSheetId="4">#REF!</definedName>
    <definedName name="xx" localSheetId="3">#REF!</definedName>
    <definedName name="xx" localSheetId="2">#REF!</definedName>
    <definedName name="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2" i="279" l="1"/>
  <c r="J23" i="279"/>
  <c r="K23" i="279" s="1"/>
  <c r="J21" i="279"/>
  <c r="J22" i="281"/>
  <c r="K22" i="281" s="1"/>
  <c r="J23" i="281"/>
  <c r="K23" i="281" s="1"/>
  <c r="J21" i="281"/>
  <c r="K21" i="281" s="1"/>
  <c r="B23" i="281"/>
  <c r="C23" i="281" s="1"/>
  <c r="H16" i="281" s="1"/>
  <c r="F9" i="221" s="1"/>
  <c r="B22" i="281"/>
  <c r="C22" i="281" s="1"/>
  <c r="B21" i="281"/>
  <c r="C21" i="281" s="1"/>
  <c r="C13" i="281"/>
  <c r="C12" i="281"/>
  <c r="C11" i="281"/>
  <c r="A1" i="281"/>
  <c r="K23" i="280"/>
  <c r="K22" i="280"/>
  <c r="K21" i="280"/>
  <c r="B23" i="280"/>
  <c r="C23" i="280" s="1"/>
  <c r="H16" i="280" s="1"/>
  <c r="B22" i="280"/>
  <c r="C22" i="280" s="1"/>
  <c r="C21" i="280"/>
  <c r="B21" i="280"/>
  <c r="C13" i="280"/>
  <c r="C12" i="280"/>
  <c r="C11" i="280"/>
  <c r="A1" i="280"/>
  <c r="K22" i="279"/>
  <c r="K21" i="279"/>
  <c r="B23" i="279"/>
  <c r="C23" i="279" s="1"/>
  <c r="H16" i="279" s="1"/>
  <c r="B22" i="279"/>
  <c r="C22" i="279" s="1"/>
  <c r="B21" i="279"/>
  <c r="C21" i="279" s="1"/>
  <c r="C13" i="279"/>
  <c r="C12" i="279"/>
  <c r="C11" i="279"/>
  <c r="A1" i="279"/>
  <c r="K23" i="234"/>
  <c r="K22" i="234"/>
  <c r="K21" i="234"/>
  <c r="C12" i="234"/>
  <c r="C11" i="234"/>
  <c r="B23" i="234" l="1"/>
  <c r="C23" i="234" s="1"/>
  <c r="H16" i="234" s="1"/>
  <c r="B22" i="234"/>
  <c r="C22" i="234" s="1"/>
  <c r="B21" i="234"/>
  <c r="C21" i="234" s="1"/>
  <c r="C13" i="234"/>
  <c r="A1" i="234"/>
</calcChain>
</file>

<file path=xl/sharedStrings.xml><?xml version="1.0" encoding="utf-8"?>
<sst xmlns="http://schemas.openxmlformats.org/spreadsheetml/2006/main" count="212" uniqueCount="68">
  <si>
    <t>Observaciones:</t>
  </si>
  <si>
    <t>Probeta No.</t>
  </si>
  <si>
    <t>CONTROL DE RESISTENCIA DE CONCRETO HIDRAULICO</t>
  </si>
  <si>
    <t>Edad</t>
  </si>
  <si>
    <t>Area</t>
  </si>
  <si>
    <t xml:space="preserve">Resistencia </t>
  </si>
  <si>
    <t>en Dias</t>
  </si>
  <si>
    <t>Plg.²</t>
  </si>
  <si>
    <t xml:space="preserve">AASHTO DESIGNATION  T - 22  </t>
  </si>
  <si>
    <t>Proyecto:</t>
  </si>
  <si>
    <t>Estructura:</t>
  </si>
  <si>
    <t>Interesado:</t>
  </si>
  <si>
    <t>PSI</t>
  </si>
  <si>
    <t>%</t>
  </si>
  <si>
    <t>(pulg)</t>
  </si>
  <si>
    <t>Fecha de Informe</t>
  </si>
  <si>
    <t>DETERMINACION DE LA RESISTENCIA A LA COMPRESIÓN DEL CONCRETO HIDRAULICO</t>
  </si>
  <si>
    <t>ASTM C 39</t>
  </si>
  <si>
    <t>Vo. Bo.</t>
  </si>
  <si>
    <t>MUESTREO DE CONCRETO FRESCO EN CAMPO AASHTO T 141 ASTM C 172 NGO 41057</t>
  </si>
  <si>
    <t>70-85</t>
  </si>
  <si>
    <t>90-95</t>
  </si>
  <si>
    <t>Realizó:</t>
  </si>
  <si>
    <t>Noé Vicente Dubón</t>
  </si>
  <si>
    <t>Estación:</t>
  </si>
  <si>
    <t>Lado/Carril</t>
  </si>
  <si>
    <t>0+600</t>
  </si>
  <si>
    <t>0+550</t>
  </si>
  <si>
    <t>Fecha de Fundición:</t>
  </si>
  <si>
    <t>Guatemala</t>
  </si>
  <si>
    <t>Presente.</t>
  </si>
  <si>
    <t>Me dirijo a ustedes deseándoles éxitos en sus labores diarias.</t>
  </si>
  <si>
    <t>PROYECTO:</t>
  </si>
  <si>
    <r>
      <t>OBSERVACION</t>
    </r>
    <r>
      <rPr>
        <sz val="14"/>
        <color indexed="8"/>
        <rFont val="Arial"/>
        <family val="2"/>
      </rPr>
      <t>:</t>
    </r>
  </si>
  <si>
    <t>Atentamente:</t>
  </si>
  <si>
    <t>AASHTO DESIGNATION  T 22 ASTM C 39</t>
  </si>
  <si>
    <t>Resistencia:</t>
  </si>
  <si>
    <t>Carga en libras</t>
  </si>
  <si>
    <t>MULTISERVICIOS VIVEL</t>
  </si>
  <si>
    <t>Tipo de falla</t>
  </si>
  <si>
    <t>(Lbs)</t>
  </si>
  <si>
    <t>Diametro</t>
  </si>
  <si>
    <t>Promedio</t>
  </si>
  <si>
    <t>Fecha de Hechura</t>
  </si>
  <si>
    <t>Fecha de Ruptura</t>
  </si>
  <si>
    <t xml:space="preserve">Peso del cilindro </t>
  </si>
  <si>
    <t>|</t>
  </si>
  <si>
    <t xml:space="preserve">El motivo de la presente es para entregar resultados de los testigos realizados  a  la mezcla de concreto hidraulico para resistencia a la compresión colocado  en Proyecto:  </t>
  </si>
  <si>
    <t>Cemento Utilizado</t>
  </si>
  <si>
    <t>Los testigos (Especímenes) fueron elaborados  en campo  por el interesado según  norma AASHTO T 141, los resultados se detallan en el informe</t>
  </si>
  <si>
    <t>Adjunto encontrará el detalle de los resultados obtenidos.</t>
  </si>
  <si>
    <t>Quedo a sus órdenes para cualquier consulta.</t>
  </si>
  <si>
    <t>Empresa Ejecutora</t>
  </si>
  <si>
    <t>210 kg/cm2</t>
  </si>
  <si>
    <t>CONSTRUCCIONES Y VENTA -ADONAI-</t>
  </si>
  <si>
    <t>DETERMINACIÓN DE LA RESISTENCIA A LA COMPRESIÓN DEL CONCRETO HIDRAULICO</t>
  </si>
  <si>
    <t>interesado:</t>
  </si>
  <si>
    <t>Empresa Ejecutora:</t>
  </si>
  <si>
    <t>UGC</t>
  </si>
  <si>
    <t>AMPLIACION SISTEMA DE ALCANTARILLADO SANITARIO SECTOR I, ALDEA SAN LORENCITO, ZUNILITO, SUCHITEPEQUEZ</t>
  </si>
  <si>
    <t>MUNICIPALIDAD DE ZUNILITO, SUCHITEPEQUEZ</t>
  </si>
  <si>
    <t>MVC MAURICIO VALDEZ CONSTRUCCIONES</t>
  </si>
  <si>
    <t>FUNDICIÓN DE CONEXIONES DOMICILIARES</t>
  </si>
  <si>
    <t>FUNDICIÓN REPOSICIÓN DE RODADURA</t>
  </si>
  <si>
    <t>FUNDICIÓN POZO DE VISITA PRE-FABRICADO DE CONCRETO</t>
  </si>
  <si>
    <t>FUNDICIÓN GRADAS DE INGRESO</t>
  </si>
  <si>
    <t>RESISTENCIA A LA COMPRESIÓN DEL CONCRETO DE: CONEXIONES DOMICILIARES, REPOSICIÓN DE RODADURA, POZO DE VISITA Y GRADAS DE INGRESO</t>
  </si>
  <si>
    <t>100-103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</si>
</sst>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* #,##0.00_-;\-&quot;$&quot;* #,##0.00_-;_-&quot;$&quot;* &quot;-&quot;??_-;_-@_-"/>
    <numFmt numFmtId="165" formatCode="_(* #,##0.00_);_(* \(#,##0.00\);_(* &quot;-&quot;??_);_(@_)"/>
    <numFmt numFmtId="166" formatCode="_([$€-2]* #,##0.00_);_([$€-2]* \(#,##0.00\);_([$€-2]* &quot;-&quot;??_)"/>
    <numFmt numFmtId="167" formatCode="[$-F800]dddd\,\ mmmm\ dd\,\ yyyy"/>
    <numFmt numFmtId="168" formatCode="#,##0;[Red]#,##0"/>
    <numFmt numFmtId="169" formatCode="0.0%"/>
  </numFmts>
  <fonts count="6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2"/>
      <color theme="5" tint="-0.49998474074526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4"/>
      <name val="Bookman Old Style"/>
      <family val="1"/>
    </font>
    <font>
      <b/>
      <sz val="14"/>
      <color theme="5" tint="-0.499984740745262"/>
      <name val="Bookman Old Style"/>
      <family val="1"/>
    </font>
    <font>
      <b/>
      <sz val="16"/>
      <name val="Bookman Old Style"/>
      <family val="1"/>
    </font>
    <font>
      <b/>
      <sz val="16"/>
      <color theme="1"/>
      <name val="Bookman Old Style"/>
      <family val="1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8"/>
      <name val="Bookman Old Style"/>
      <family val="1"/>
    </font>
    <font>
      <b/>
      <sz val="20"/>
      <color theme="1"/>
      <name val="Bookman Old Style"/>
      <family val="1"/>
    </font>
    <font>
      <b/>
      <sz val="20"/>
      <name val="Bookman Old Style"/>
      <family val="1"/>
    </font>
    <font>
      <sz val="18"/>
      <color theme="1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18"/>
      <color theme="1"/>
      <name val="Arial"/>
      <family val="2"/>
    </font>
    <font>
      <b/>
      <i/>
      <sz val="18"/>
      <name val="Arial"/>
      <family val="2"/>
    </font>
    <font>
      <sz val="48"/>
      <name val="Baskerville Old Face"/>
      <family val="1"/>
    </font>
    <font>
      <sz val="48"/>
      <name val="Bauhaus 93"/>
      <family val="5"/>
    </font>
    <font>
      <sz val="48"/>
      <name val="Berlin Sans FB"/>
      <family val="2"/>
    </font>
    <font>
      <sz val="48"/>
      <name val="Calibri"/>
      <family val="2"/>
    </font>
    <font>
      <b/>
      <sz val="18"/>
      <color theme="5" tint="-0.499984740745262"/>
      <name val="Bookman Old Style"/>
      <family val="1"/>
    </font>
    <font>
      <b/>
      <sz val="28"/>
      <color theme="4" tint="-0.499984740745262"/>
      <name val="Bookman Old Style"/>
      <family val="1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4"/>
      <color indexed="8"/>
      <name val="Arial"/>
      <family val="2"/>
    </font>
    <font>
      <b/>
      <sz val="22"/>
      <color rgb="FFC00000"/>
      <name val="Arial"/>
      <family val="2"/>
    </font>
    <font>
      <b/>
      <sz val="14"/>
      <color theme="1"/>
      <name val="Bookman Old Style"/>
      <family val="1"/>
    </font>
    <font>
      <sz val="24"/>
      <color theme="4" tint="-0.499984740745262"/>
      <name val="Bookman Old Style"/>
      <family val="1"/>
    </font>
    <font>
      <b/>
      <sz val="20"/>
      <color theme="1"/>
      <name val="Arial"/>
      <family val="2"/>
    </font>
    <font>
      <b/>
      <sz val="20"/>
      <name val="Arial"/>
      <family val="2"/>
    </font>
    <font>
      <sz val="20"/>
      <color theme="1"/>
      <name val="Arial"/>
      <family val="2"/>
    </font>
    <font>
      <sz val="2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sz val="22"/>
      <name val="Bookman Old Style"/>
      <family val="1"/>
    </font>
    <font>
      <sz val="22"/>
      <color theme="1"/>
      <name val="Bookman Old Style"/>
      <family val="1"/>
    </font>
    <font>
      <sz val="22"/>
      <color indexed="8"/>
      <name val="Bookman Old Style"/>
      <family val="1"/>
    </font>
    <font>
      <sz val="20"/>
      <color indexed="8"/>
      <name val="Bookman Old Style"/>
      <family val="1"/>
    </font>
    <font>
      <b/>
      <sz val="28"/>
      <color theme="4" tint="-0.499984740745262"/>
      <name val="Book Antiqua"/>
      <family val="1"/>
    </font>
    <font>
      <b/>
      <u val="double"/>
      <sz val="28"/>
      <color theme="3"/>
      <name val="Book Antiqua"/>
      <family val="1"/>
    </font>
    <font>
      <b/>
      <sz val="20"/>
      <color rgb="FF002060"/>
      <name val="Book Antiqua"/>
      <family val="1"/>
    </font>
    <font>
      <sz val="20"/>
      <color rgb="FF002060"/>
      <name val="Bookman Old Style"/>
      <family val="1"/>
    </font>
    <font>
      <b/>
      <i/>
      <sz val="12"/>
      <name val="Arial"/>
      <family val="2"/>
    </font>
    <font>
      <sz val="11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theme="8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theme="4" tint="-0.24994659260841701"/>
      </left>
      <right/>
      <top style="double">
        <color theme="4" tint="-0.24994659260841701"/>
      </top>
      <bottom/>
      <diagonal/>
    </border>
    <border>
      <left/>
      <right/>
      <top style="double">
        <color theme="4" tint="-0.24994659260841701"/>
      </top>
      <bottom/>
      <diagonal/>
    </border>
    <border>
      <left/>
      <right style="double">
        <color theme="4" tint="-0.24994659260841701"/>
      </right>
      <top style="double">
        <color theme="4" tint="-0.24994659260841701"/>
      </top>
      <bottom/>
      <diagonal/>
    </border>
    <border>
      <left style="double">
        <color theme="4" tint="-0.24994659260841701"/>
      </left>
      <right/>
      <top/>
      <bottom/>
      <diagonal/>
    </border>
    <border>
      <left/>
      <right style="double">
        <color theme="4" tint="-0.24994659260841701"/>
      </right>
      <top/>
      <bottom/>
      <diagonal/>
    </border>
    <border>
      <left style="double">
        <color theme="4" tint="-0.24994659260841701"/>
      </left>
      <right/>
      <top/>
      <bottom style="double">
        <color theme="4" tint="-0.24994659260841701"/>
      </bottom>
      <diagonal/>
    </border>
    <border>
      <left/>
      <right/>
      <top/>
      <bottom style="double">
        <color theme="4" tint="-0.24994659260841701"/>
      </bottom>
      <diagonal/>
    </border>
    <border>
      <left/>
      <right style="double">
        <color theme="4" tint="-0.24994659260841701"/>
      </right>
      <top/>
      <bottom style="double">
        <color theme="4" tint="-0.24994659260841701"/>
      </bottom>
      <diagonal/>
    </border>
  </borders>
  <cellStyleXfs count="62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20" borderId="0" applyNumberFormat="0" applyBorder="0" applyAlignment="0" applyProtection="0"/>
    <xf numFmtId="0" fontId="9" fillId="4" borderId="0" applyNumberFormat="0" applyBorder="0" applyAlignment="0" applyProtection="0"/>
    <xf numFmtId="0" fontId="10" fillId="21" borderId="5" applyNumberFormat="0" applyAlignment="0" applyProtection="0"/>
    <xf numFmtId="0" fontId="11" fillId="22" borderId="6" applyNumberFormat="0" applyAlignment="0" applyProtection="0"/>
    <xf numFmtId="0" fontId="12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8" borderId="5" applyNumberFormat="0" applyAlignment="0" applyProtection="0"/>
    <xf numFmtId="0" fontId="18" fillId="0" borderId="10" applyNumberFormat="0" applyFill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3" borderId="11" applyNumberFormat="0" applyFont="0" applyAlignment="0" applyProtection="0"/>
    <xf numFmtId="0" fontId="20" fillId="21" borderId="12" applyNumberFormat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129">
    <xf numFmtId="0" fontId="0" fillId="0" borderId="0" xfId="0"/>
    <xf numFmtId="0" fontId="2" fillId="0" borderId="0" xfId="6"/>
    <xf numFmtId="0" fontId="2" fillId="0" borderId="0" xfId="6" applyAlignment="1">
      <alignment horizontal="center"/>
    </xf>
    <xf numFmtId="0" fontId="4" fillId="0" borderId="0" xfId="6" applyFont="1" applyAlignment="1">
      <alignment vertical="center"/>
    </xf>
    <xf numFmtId="0" fontId="6" fillId="0" borderId="0" xfId="6" applyFont="1"/>
    <xf numFmtId="0" fontId="24" fillId="0" borderId="0" xfId="6" applyFont="1"/>
    <xf numFmtId="0" fontId="23" fillId="0" borderId="0" xfId="6" applyFont="1" applyAlignment="1">
      <alignment vertical="center" wrapText="1"/>
    </xf>
    <xf numFmtId="0" fontId="27" fillId="2" borderId="0" xfId="6" applyFont="1" applyFill="1" applyAlignment="1">
      <alignment vertical="center"/>
    </xf>
    <xf numFmtId="0" fontId="28" fillId="2" borderId="0" xfId="6" applyFont="1" applyFill="1" applyAlignment="1">
      <alignment vertical="center"/>
    </xf>
    <xf numFmtId="0" fontId="34" fillId="0" borderId="0" xfId="6" applyFont="1"/>
    <xf numFmtId="0" fontId="25" fillId="0" borderId="0" xfId="6" applyFont="1" applyAlignment="1">
      <alignment horizontal="center" vertical="center" wrapText="1"/>
    </xf>
    <xf numFmtId="0" fontId="37" fillId="0" borderId="0" xfId="6" applyFont="1"/>
    <xf numFmtId="0" fontId="38" fillId="0" borderId="0" xfId="6" applyFont="1"/>
    <xf numFmtId="0" fontId="39" fillId="0" borderId="0" xfId="6" applyFont="1"/>
    <xf numFmtId="0" fontId="40" fillId="0" borderId="0" xfId="6" applyFont="1"/>
    <xf numFmtId="0" fontId="41" fillId="0" borderId="0" xfId="6" applyFont="1"/>
    <xf numFmtId="167" fontId="30" fillId="2" borderId="1" xfId="6" applyNumberFormat="1" applyFont="1" applyFill="1" applyBorder="1" applyAlignment="1">
      <alignment horizontal="center" vertical="center"/>
    </xf>
    <xf numFmtId="0" fontId="0" fillId="0" borderId="17" xfId="0" applyBorder="1"/>
    <xf numFmtId="0" fontId="42" fillId="0" borderId="18" xfId="0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43" fillId="0" borderId="0" xfId="0" applyFont="1"/>
    <xf numFmtId="0" fontId="46" fillId="0" borderId="0" xfId="0" applyFont="1" applyAlignment="1">
      <alignment vertical="center"/>
    </xf>
    <xf numFmtId="0" fontId="44" fillId="0" borderId="0" xfId="0" applyFont="1"/>
    <xf numFmtId="0" fontId="0" fillId="0" borderId="22" xfId="0" applyBorder="1"/>
    <xf numFmtId="0" fontId="0" fillId="0" borderId="24" xfId="0" applyBorder="1"/>
    <xf numFmtId="0" fontId="36" fillId="0" borderId="0" xfId="6" applyFont="1" applyAlignment="1">
      <alignment horizontal="center" vertical="center" wrapText="1"/>
    </xf>
    <xf numFmtId="0" fontId="32" fillId="0" borderId="0" xfId="0" applyFont="1" applyAlignment="1">
      <alignment wrapText="1"/>
    </xf>
    <xf numFmtId="0" fontId="46" fillId="0" borderId="0" xfId="0" applyFont="1" applyAlignment="1">
      <alignment horizontal="center" vertical="center" wrapText="1"/>
    </xf>
    <xf numFmtId="0" fontId="53" fillId="2" borderId="1" xfId="6" applyFont="1" applyFill="1" applyBorder="1" applyAlignment="1">
      <alignment horizontal="center" vertical="center" wrapText="1"/>
    </xf>
    <xf numFmtId="0" fontId="53" fillId="2" borderId="1" xfId="6" applyFont="1" applyFill="1" applyBorder="1" applyAlignment="1">
      <alignment horizontal="center" vertical="center"/>
    </xf>
    <xf numFmtId="0" fontId="53" fillId="2" borderId="1" xfId="6" applyFont="1" applyFill="1" applyBorder="1" applyAlignment="1">
      <alignment vertical="center"/>
    </xf>
    <xf numFmtId="0" fontId="52" fillId="0" borderId="1" xfId="6" applyFont="1" applyBorder="1" applyAlignment="1">
      <alignment horizontal="center" vertical="center"/>
    </xf>
    <xf numFmtId="0" fontId="54" fillId="0" borderId="1" xfId="6" applyFont="1" applyBorder="1" applyAlignment="1">
      <alignment horizontal="center"/>
    </xf>
    <xf numFmtId="0" fontId="55" fillId="2" borderId="1" xfId="6" applyFont="1" applyFill="1" applyBorder="1" applyAlignment="1">
      <alignment horizontal="center" vertical="center" wrapText="1"/>
    </xf>
    <xf numFmtId="14" fontId="55" fillId="2" borderId="1" xfId="6" quotePrefix="1" applyNumberFormat="1" applyFont="1" applyFill="1" applyBorder="1" applyAlignment="1">
      <alignment horizontal="center" vertical="center"/>
    </xf>
    <xf numFmtId="14" fontId="55" fillId="2" borderId="1" xfId="6" applyNumberFormat="1" applyFont="1" applyFill="1" applyBorder="1" applyAlignment="1">
      <alignment horizontal="center" vertical="center"/>
    </xf>
    <xf numFmtId="0" fontId="55" fillId="2" borderId="16" xfId="6" applyFont="1" applyFill="1" applyBorder="1" applyAlignment="1">
      <alignment horizontal="center" vertical="center"/>
    </xf>
    <xf numFmtId="2" fontId="55" fillId="2" borderId="1" xfId="6" applyNumberFormat="1" applyFont="1" applyFill="1" applyBorder="1" applyAlignment="1">
      <alignment horizontal="center" vertical="center"/>
    </xf>
    <xf numFmtId="168" fontId="55" fillId="2" borderId="1" xfId="6" applyNumberFormat="1" applyFont="1" applyFill="1" applyBorder="1" applyAlignment="1">
      <alignment horizontal="center" vertical="center"/>
    </xf>
    <xf numFmtId="4" fontId="50" fillId="0" borderId="0" xfId="0" applyNumberFormat="1" applyFont="1" applyAlignment="1">
      <alignment horizontal="center" vertical="center"/>
    </xf>
    <xf numFmtId="0" fontId="44" fillId="0" borderId="0" xfId="0" applyFont="1" applyAlignment="1">
      <alignment vertical="center"/>
    </xf>
    <xf numFmtId="14" fontId="56" fillId="2" borderId="1" xfId="6" quotePrefix="1" applyNumberFormat="1" applyFont="1" applyFill="1" applyBorder="1" applyAlignment="1">
      <alignment horizontal="center" vertical="center"/>
    </xf>
    <xf numFmtId="14" fontId="56" fillId="2" borderId="1" xfId="6" applyNumberFormat="1" applyFont="1" applyFill="1" applyBorder="1" applyAlignment="1">
      <alignment horizontal="center" vertical="center"/>
    </xf>
    <xf numFmtId="0" fontId="56" fillId="2" borderId="1" xfId="6" applyFont="1" applyFill="1" applyBorder="1" applyAlignment="1">
      <alignment horizontal="center" vertical="center"/>
    </xf>
    <xf numFmtId="2" fontId="56" fillId="2" borderId="1" xfId="6" applyNumberFormat="1" applyFont="1" applyFill="1" applyBorder="1" applyAlignment="1">
      <alignment horizontal="center" vertical="center"/>
    </xf>
    <xf numFmtId="0" fontId="56" fillId="2" borderId="1" xfId="6" applyFont="1" applyFill="1" applyBorder="1" applyAlignment="1">
      <alignment horizontal="center" vertical="center" wrapText="1"/>
    </xf>
    <xf numFmtId="168" fontId="56" fillId="2" borderId="1" xfId="6" applyNumberFormat="1" applyFont="1" applyFill="1" applyBorder="1" applyAlignment="1">
      <alignment horizontal="center" vertical="center"/>
    </xf>
    <xf numFmtId="3" fontId="59" fillId="2" borderId="14" xfId="6" applyNumberFormat="1" applyFont="1" applyFill="1" applyBorder="1" applyAlignment="1">
      <alignment vertical="center"/>
    </xf>
    <xf numFmtId="0" fontId="59" fillId="2" borderId="4" xfId="6" applyFont="1" applyFill="1" applyBorder="1" applyAlignment="1">
      <alignment vertical="center"/>
    </xf>
    <xf numFmtId="0" fontId="51" fillId="0" borderId="0" xfId="0" applyFont="1" applyAlignment="1">
      <alignment horizontal="center" vertical="center" wrapText="1"/>
    </xf>
    <xf numFmtId="0" fontId="59" fillId="2" borderId="3" xfId="6" applyFont="1" applyFill="1" applyBorder="1" applyAlignment="1">
      <alignment horizontal="center" vertical="center" wrapText="1"/>
    </xf>
    <xf numFmtId="169" fontId="52" fillId="24" borderId="1" xfId="6" applyNumberFormat="1" applyFont="1" applyFill="1" applyBorder="1" applyAlignment="1">
      <alignment horizontal="center"/>
    </xf>
    <xf numFmtId="0" fontId="31" fillId="0" borderId="0" xfId="6" applyFont="1" applyAlignment="1">
      <alignment horizontal="center" vertical="center" wrapText="1"/>
    </xf>
    <xf numFmtId="4" fontId="64" fillId="0" borderId="0" xfId="0" applyNumberFormat="1" applyFont="1" applyAlignment="1">
      <alignment horizontal="center" vertical="center"/>
    </xf>
    <xf numFmtId="0" fontId="36" fillId="0" borderId="0" xfId="6" applyFont="1"/>
    <xf numFmtId="0" fontId="44" fillId="0" borderId="0" xfId="0" applyFont="1" applyAlignment="1">
      <alignment horizontal="left" vertical="center" wrapText="1"/>
    </xf>
    <xf numFmtId="4" fontId="63" fillId="0" borderId="0" xfId="0" applyNumberFormat="1" applyFont="1" applyAlignment="1">
      <alignment horizontal="center" vertical="center"/>
    </xf>
    <xf numFmtId="4" fontId="63" fillId="0" borderId="0" xfId="0" applyNumberFormat="1" applyFont="1" applyAlignment="1">
      <alignment horizontal="center" vertical="center" wrapText="1"/>
    </xf>
    <xf numFmtId="0" fontId="0" fillId="0" borderId="0" xfId="0"/>
    <xf numFmtId="0" fontId="36" fillId="0" borderId="0" xfId="6" applyFont="1" applyAlignment="1">
      <alignment horizontal="center"/>
    </xf>
    <xf numFmtId="0" fontId="36" fillId="0" borderId="0" xfId="6" applyFont="1" applyAlignment="1">
      <alignment horizontal="center" vertical="center" wrapText="1"/>
    </xf>
    <xf numFmtId="167" fontId="63" fillId="0" borderId="0" xfId="0" applyNumberFormat="1" applyFont="1" applyAlignment="1">
      <alignment horizontal="center" vertical="center"/>
    </xf>
    <xf numFmtId="0" fontId="63" fillId="0" borderId="0" xfId="0" applyFont="1" applyAlignment="1">
      <alignment horizontal="right" vertical="center"/>
    </xf>
    <xf numFmtId="0" fontId="61" fillId="0" borderId="18" xfId="0" applyFont="1" applyBorder="1" applyAlignment="1">
      <alignment horizontal="center" vertical="center"/>
    </xf>
    <xf numFmtId="0" fontId="65" fillId="0" borderId="0" xfId="6" applyFont="1" applyAlignment="1">
      <alignment horizontal="center" vertical="top"/>
    </xf>
    <xf numFmtId="0" fontId="46" fillId="0" borderId="0" xfId="0" applyFont="1" applyAlignment="1">
      <alignment horizontal="center" vertical="center" wrapText="1"/>
    </xf>
    <xf numFmtId="0" fontId="35" fillId="0" borderId="0" xfId="0" applyFont="1"/>
    <xf numFmtId="0" fontId="32" fillId="0" borderId="0" xfId="0" applyFont="1" applyAlignment="1">
      <alignment horizontal="justify" vertical="center"/>
    </xf>
    <xf numFmtId="0" fontId="45" fillId="0" borderId="0" xfId="0" applyFont="1"/>
    <xf numFmtId="0" fontId="32" fillId="0" borderId="0" xfId="0" applyFont="1" applyAlignment="1">
      <alignment vertical="center" wrapText="1"/>
    </xf>
    <xf numFmtId="0" fontId="63" fillId="0" borderId="0" xfId="0" applyFont="1" applyAlignment="1">
      <alignment horizontal="center" vertical="center" wrapText="1"/>
    </xf>
    <xf numFmtId="0" fontId="0" fillId="0" borderId="23" xfId="0" applyBorder="1"/>
    <xf numFmtId="0" fontId="43" fillId="0" borderId="0" xfId="0" applyFont="1" applyAlignment="1">
      <alignment vertical="center"/>
    </xf>
    <xf numFmtId="0" fontId="44" fillId="0" borderId="2" xfId="0" applyFont="1" applyBorder="1" applyAlignment="1">
      <alignment horizontal="center"/>
    </xf>
    <xf numFmtId="0" fontId="23" fillId="0" borderId="0" xfId="8" applyFont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44" fillId="0" borderId="0" xfId="0" applyFont="1"/>
    <xf numFmtId="0" fontId="32" fillId="0" borderId="0" xfId="0" applyFont="1" applyAlignment="1">
      <alignment vertical="center"/>
    </xf>
    <xf numFmtId="0" fontId="44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33" fillId="0" borderId="0" xfId="6" applyFont="1" applyAlignment="1">
      <alignment horizontal="center" vertical="center"/>
    </xf>
    <xf numFmtId="0" fontId="62" fillId="0" borderId="0" xfId="6" applyFont="1" applyAlignment="1">
      <alignment horizontal="center"/>
    </xf>
    <xf numFmtId="0" fontId="52" fillId="2" borderId="0" xfId="6" applyFont="1" applyFill="1" applyAlignment="1">
      <alignment horizontal="center" vertical="center"/>
    </xf>
    <xf numFmtId="0" fontId="25" fillId="0" borderId="3" xfId="6" applyFont="1" applyBorder="1" applyAlignment="1">
      <alignment horizontal="left" vertical="center"/>
    </xf>
    <xf numFmtId="0" fontId="25" fillId="0" borderId="4" xfId="6" applyFont="1" applyBorder="1" applyAlignment="1">
      <alignment horizontal="left" vertical="center"/>
    </xf>
    <xf numFmtId="4" fontId="57" fillId="0" borderId="3" xfId="6" applyNumberFormat="1" applyFont="1" applyBorder="1" applyAlignment="1">
      <alignment horizontal="center" vertical="center"/>
    </xf>
    <xf numFmtId="4" fontId="57" fillId="0" borderId="14" xfId="6" applyNumberFormat="1" applyFont="1" applyBorder="1" applyAlignment="1">
      <alignment horizontal="center" vertical="center"/>
    </xf>
    <xf numFmtId="4" fontId="57" fillId="0" borderId="4" xfId="6" applyNumberFormat="1" applyFont="1" applyBorder="1" applyAlignment="1">
      <alignment horizontal="center" vertical="center"/>
    </xf>
    <xf numFmtId="0" fontId="25" fillId="2" borderId="3" xfId="6" applyFont="1" applyFill="1" applyBorder="1" applyAlignment="1">
      <alignment horizontal="left" vertical="center"/>
    </xf>
    <xf numFmtId="0" fontId="25" fillId="2" borderId="4" xfId="6" applyFont="1" applyFill="1" applyBorder="1" applyAlignment="1">
      <alignment horizontal="left" vertical="center"/>
    </xf>
    <xf numFmtId="4" fontId="57" fillId="2" borderId="3" xfId="6" applyNumberFormat="1" applyFont="1" applyFill="1" applyBorder="1" applyAlignment="1">
      <alignment horizontal="center" vertical="center" wrapText="1"/>
    </xf>
    <xf numFmtId="0" fontId="57" fillId="2" borderId="14" xfId="6" applyFont="1" applyFill="1" applyBorder="1" applyAlignment="1">
      <alignment horizontal="center" vertical="center" wrapText="1"/>
    </xf>
    <xf numFmtId="0" fontId="57" fillId="2" borderId="4" xfId="6" applyFont="1" applyFill="1" applyBorder="1" applyAlignment="1">
      <alignment horizontal="center" vertical="center" wrapText="1"/>
    </xf>
    <xf numFmtId="0" fontId="26" fillId="2" borderId="3" xfId="6" applyFont="1" applyFill="1" applyBorder="1" applyAlignment="1">
      <alignment horizontal="left" vertical="center"/>
    </xf>
    <xf numFmtId="0" fontId="26" fillId="2" borderId="4" xfId="6" applyFont="1" applyFill="1" applyBorder="1" applyAlignment="1">
      <alignment horizontal="left" vertical="center"/>
    </xf>
    <xf numFmtId="0" fontId="58" fillId="2" borderId="3" xfId="6" applyFont="1" applyFill="1" applyBorder="1" applyAlignment="1">
      <alignment horizontal="center" vertical="center" wrapText="1"/>
    </xf>
    <xf numFmtId="0" fontId="58" fillId="2" borderId="14" xfId="6" applyFont="1" applyFill="1" applyBorder="1" applyAlignment="1">
      <alignment horizontal="center" vertical="center" wrapText="1"/>
    </xf>
    <xf numFmtId="0" fontId="58" fillId="2" borderId="4" xfId="6" applyFont="1" applyFill="1" applyBorder="1" applyAlignment="1">
      <alignment horizontal="center" vertical="center" wrapText="1"/>
    </xf>
    <xf numFmtId="0" fontId="26" fillId="0" borderId="1" xfId="6" applyFont="1" applyBorder="1" applyAlignment="1">
      <alignment horizontal="left" vertical="center"/>
    </xf>
    <xf numFmtId="0" fontId="59" fillId="2" borderId="3" xfId="6" applyFont="1" applyFill="1" applyBorder="1" applyAlignment="1">
      <alignment horizontal="center" vertical="center"/>
    </xf>
    <xf numFmtId="0" fontId="59" fillId="2" borderId="4" xfId="6" applyFont="1" applyFill="1" applyBorder="1" applyAlignment="1">
      <alignment horizontal="center" vertical="center"/>
    </xf>
    <xf numFmtId="0" fontId="59" fillId="2" borderId="14" xfId="6" applyFont="1" applyFill="1" applyBorder="1" applyAlignment="1">
      <alignment horizontal="center" vertical="center"/>
    </xf>
    <xf numFmtId="0" fontId="26" fillId="0" borderId="1" xfId="6" applyFont="1" applyBorder="1" applyAlignment="1">
      <alignment horizontal="left" vertical="center" wrapText="1"/>
    </xf>
    <xf numFmtId="167" fontId="60" fillId="2" borderId="3" xfId="6" applyNumberFormat="1" applyFont="1" applyFill="1" applyBorder="1" applyAlignment="1">
      <alignment horizontal="center" vertical="center"/>
    </xf>
    <xf numFmtId="167" fontId="60" fillId="2" borderId="14" xfId="6" applyNumberFormat="1" applyFont="1" applyFill="1" applyBorder="1" applyAlignment="1">
      <alignment horizontal="center" vertical="center"/>
    </xf>
    <xf numFmtId="167" fontId="60" fillId="2" borderId="4" xfId="6" applyNumberFormat="1" applyFont="1" applyFill="1" applyBorder="1" applyAlignment="1">
      <alignment horizontal="center" vertical="center"/>
    </xf>
    <xf numFmtId="0" fontId="60" fillId="2" borderId="3" xfId="6" applyFont="1" applyFill="1" applyBorder="1" applyAlignment="1">
      <alignment horizontal="center" vertical="center" wrapText="1"/>
    </xf>
    <xf numFmtId="0" fontId="60" fillId="2" borderId="4" xfId="6" applyFont="1" applyFill="1" applyBorder="1" applyAlignment="1">
      <alignment horizontal="center" vertical="center" wrapText="1"/>
    </xf>
    <xf numFmtId="167" fontId="60" fillId="2" borderId="13" xfId="6" applyNumberFormat="1" applyFont="1" applyFill="1" applyBorder="1" applyAlignment="1">
      <alignment horizontal="center" vertical="center"/>
    </xf>
    <xf numFmtId="0" fontId="26" fillId="0" borderId="3" xfId="6" applyFont="1" applyBorder="1" applyAlignment="1">
      <alignment horizontal="left" vertical="center"/>
    </xf>
    <xf numFmtId="0" fontId="26" fillId="0" borderId="4" xfId="6" applyFont="1" applyBorder="1" applyAlignment="1">
      <alignment horizontal="left" vertical="center"/>
    </xf>
    <xf numFmtId="0" fontId="30" fillId="2" borderId="1" xfId="6" applyFont="1" applyFill="1" applyBorder="1" applyAlignment="1">
      <alignment horizontal="center" vertical="center" wrapText="1"/>
    </xf>
    <xf numFmtId="0" fontId="30" fillId="2" borderId="14" xfId="6" applyFont="1" applyFill="1" applyBorder="1" applyAlignment="1">
      <alignment horizontal="center" vertical="center" wrapText="1"/>
    </xf>
    <xf numFmtId="0" fontId="30" fillId="2" borderId="4" xfId="6" applyFont="1" applyFill="1" applyBorder="1" applyAlignment="1">
      <alignment horizontal="center" vertical="center" wrapText="1"/>
    </xf>
    <xf numFmtId="0" fontId="29" fillId="0" borderId="0" xfId="6" applyFont="1" applyAlignment="1">
      <alignment horizontal="center"/>
    </xf>
    <xf numFmtId="0" fontId="30" fillId="0" borderId="3" xfId="6" applyFont="1" applyBorder="1" applyAlignment="1">
      <alignment horizontal="center" vertical="center"/>
    </xf>
    <xf numFmtId="0" fontId="30" fillId="0" borderId="14" xfId="6" applyFont="1" applyBorder="1" applyAlignment="1">
      <alignment horizontal="center" vertical="center"/>
    </xf>
    <xf numFmtId="0" fontId="30" fillId="0" borderId="4" xfId="6" applyFont="1" applyBorder="1" applyAlignment="1">
      <alignment horizontal="center" vertical="center"/>
    </xf>
    <xf numFmtId="0" fontId="53" fillId="2" borderId="1" xfId="6" applyFont="1" applyFill="1" applyBorder="1" applyAlignment="1">
      <alignment horizontal="center" vertical="center" wrapText="1"/>
    </xf>
    <xf numFmtId="0" fontId="53" fillId="2" borderId="16" xfId="6" applyFont="1" applyFill="1" applyBorder="1" applyAlignment="1">
      <alignment horizontal="center" vertical="center" wrapText="1"/>
    </xf>
    <xf numFmtId="0" fontId="53" fillId="2" borderId="15" xfId="6" applyFont="1" applyFill="1" applyBorder="1" applyAlignment="1">
      <alignment horizontal="center" vertical="center" wrapText="1"/>
    </xf>
    <xf numFmtId="0" fontId="33" fillId="0" borderId="0" xfId="6" applyFont="1" applyAlignment="1">
      <alignment horizontal="left" vertical="center"/>
    </xf>
    <xf numFmtId="0" fontId="31" fillId="0" borderId="0" xfId="6" applyFont="1" applyAlignment="1">
      <alignment horizontal="center" vertical="center" wrapText="1"/>
    </xf>
    <xf numFmtId="0" fontId="25" fillId="0" borderId="0" xfId="6" applyFont="1" applyAlignment="1">
      <alignment horizontal="center"/>
    </xf>
    <xf numFmtId="0" fontId="29" fillId="0" borderId="2" xfId="6" applyFont="1" applyBorder="1" applyAlignment="1">
      <alignment horizontal="center" vertical="center"/>
    </xf>
  </cellXfs>
  <cellStyles count="62">
    <cellStyle name="20% - Accent1" xfId="15" xr:uid="{00000000-0005-0000-0000-000000000000}"/>
    <cellStyle name="20% - Accent2" xfId="16" xr:uid="{00000000-0005-0000-0000-000001000000}"/>
    <cellStyle name="20% - Accent3" xfId="17" xr:uid="{00000000-0005-0000-0000-000002000000}"/>
    <cellStyle name="20% - Accent4" xfId="18" xr:uid="{00000000-0005-0000-0000-000003000000}"/>
    <cellStyle name="20% - Accent5" xfId="19" xr:uid="{00000000-0005-0000-0000-000004000000}"/>
    <cellStyle name="20% - Accent6" xfId="20" xr:uid="{00000000-0005-0000-0000-000005000000}"/>
    <cellStyle name="40% - Accent1" xfId="21" xr:uid="{00000000-0005-0000-0000-000006000000}"/>
    <cellStyle name="40% - Accent2" xfId="22" xr:uid="{00000000-0005-0000-0000-000007000000}"/>
    <cellStyle name="40% - Accent3" xfId="23" xr:uid="{00000000-0005-0000-0000-000008000000}"/>
    <cellStyle name="40% - Accent4" xfId="24" xr:uid="{00000000-0005-0000-0000-000009000000}"/>
    <cellStyle name="40% - Accent5" xfId="25" xr:uid="{00000000-0005-0000-0000-00000A000000}"/>
    <cellStyle name="40% - Accent6" xfId="26" xr:uid="{00000000-0005-0000-0000-00000B000000}"/>
    <cellStyle name="60% - Accent1" xfId="27" xr:uid="{00000000-0005-0000-0000-00000C000000}"/>
    <cellStyle name="60% - Accent2" xfId="28" xr:uid="{00000000-0005-0000-0000-00000D000000}"/>
    <cellStyle name="60% - Accent3" xfId="29" xr:uid="{00000000-0005-0000-0000-00000E000000}"/>
    <cellStyle name="60% - Accent4" xfId="30" xr:uid="{00000000-0005-0000-0000-00000F000000}"/>
    <cellStyle name="60% - Accent5" xfId="31" xr:uid="{00000000-0005-0000-0000-000010000000}"/>
    <cellStyle name="60% - Accent6" xfId="32" xr:uid="{00000000-0005-0000-0000-000011000000}"/>
    <cellStyle name="Accent1" xfId="33" xr:uid="{00000000-0005-0000-0000-000012000000}"/>
    <cellStyle name="Accent2" xfId="34" xr:uid="{00000000-0005-0000-0000-000013000000}"/>
    <cellStyle name="Accent3" xfId="35" xr:uid="{00000000-0005-0000-0000-000014000000}"/>
    <cellStyle name="Accent4" xfId="36" xr:uid="{00000000-0005-0000-0000-000015000000}"/>
    <cellStyle name="Accent5" xfId="37" xr:uid="{00000000-0005-0000-0000-000016000000}"/>
    <cellStyle name="Accent6" xfId="38" xr:uid="{00000000-0005-0000-0000-000017000000}"/>
    <cellStyle name="Bad" xfId="39" xr:uid="{00000000-0005-0000-0000-000018000000}"/>
    <cellStyle name="Calculation" xfId="40" xr:uid="{00000000-0005-0000-0000-000019000000}"/>
    <cellStyle name="Check Cell" xfId="41" xr:uid="{00000000-0005-0000-0000-00001A000000}"/>
    <cellStyle name="Euro" xfId="1" xr:uid="{00000000-0005-0000-0000-00001B000000}"/>
    <cellStyle name="Explanatory Text" xfId="42" xr:uid="{00000000-0005-0000-0000-00001C000000}"/>
    <cellStyle name="Good" xfId="43" xr:uid="{00000000-0005-0000-0000-00001D000000}"/>
    <cellStyle name="Heading 1" xfId="44" xr:uid="{00000000-0005-0000-0000-00001E000000}"/>
    <cellStyle name="Heading 2" xfId="45" xr:uid="{00000000-0005-0000-0000-00001F000000}"/>
    <cellStyle name="Heading 3" xfId="46" xr:uid="{00000000-0005-0000-0000-000020000000}"/>
    <cellStyle name="Heading 4" xfId="47" xr:uid="{00000000-0005-0000-0000-000021000000}"/>
    <cellStyle name="Input" xfId="48" xr:uid="{00000000-0005-0000-0000-000022000000}"/>
    <cellStyle name="Linked Cell" xfId="49" xr:uid="{00000000-0005-0000-0000-000023000000}"/>
    <cellStyle name="Millares 2" xfId="50" xr:uid="{00000000-0005-0000-0000-000024000000}"/>
    <cellStyle name="Millares 3" xfId="51" xr:uid="{00000000-0005-0000-0000-000025000000}"/>
    <cellStyle name="Moneda 2" xfId="2" xr:uid="{00000000-0005-0000-0000-000026000000}"/>
    <cellStyle name="Normal" xfId="0" builtinId="0"/>
    <cellStyle name="Normal 2" xfId="3" xr:uid="{00000000-0005-0000-0000-000028000000}"/>
    <cellStyle name="Normal 2 2" xfId="4" xr:uid="{00000000-0005-0000-0000-000029000000}"/>
    <cellStyle name="Normal 2 3" xfId="5" xr:uid="{00000000-0005-0000-0000-00002A000000}"/>
    <cellStyle name="Normal 2_BASE GRANOLAR BP. 304-1" xfId="52" xr:uid="{00000000-0005-0000-0000-00002B000000}"/>
    <cellStyle name="Normal 3" xfId="6" xr:uid="{00000000-0005-0000-0000-00002C000000}"/>
    <cellStyle name="Normal 3 2" xfId="53" xr:uid="{00000000-0005-0000-0000-00002D000000}"/>
    <cellStyle name="Normal 3_10)061108 am" xfId="54" xr:uid="{00000000-0005-0000-0000-00002E000000}"/>
    <cellStyle name="Normal 4" xfId="7" xr:uid="{00000000-0005-0000-0000-00002F000000}"/>
    <cellStyle name="Normal 4 2" xfId="8" xr:uid="{00000000-0005-0000-0000-000030000000}"/>
    <cellStyle name="Normal 5" xfId="9" xr:uid="{00000000-0005-0000-0000-000031000000}"/>
    <cellStyle name="Normal 6" xfId="10" xr:uid="{00000000-0005-0000-0000-000032000000}"/>
    <cellStyle name="Normal 7" xfId="55" xr:uid="{00000000-0005-0000-0000-000033000000}"/>
    <cellStyle name="Note" xfId="56" xr:uid="{00000000-0005-0000-0000-000034000000}"/>
    <cellStyle name="Output" xfId="57" xr:uid="{00000000-0005-0000-0000-000035000000}"/>
    <cellStyle name="Porcentual 2" xfId="11" xr:uid="{00000000-0005-0000-0000-000036000000}"/>
    <cellStyle name="Porcentual 2 2" xfId="12" xr:uid="{00000000-0005-0000-0000-000037000000}"/>
    <cellStyle name="Porcentual 3" xfId="13" xr:uid="{00000000-0005-0000-0000-000038000000}"/>
    <cellStyle name="Porcentual 3 2" xfId="14" xr:uid="{00000000-0005-0000-0000-000039000000}"/>
    <cellStyle name="Porcentual 4" xfId="58" xr:uid="{00000000-0005-0000-0000-00003A000000}"/>
    <cellStyle name="Porcentual 5" xfId="59" xr:uid="{00000000-0005-0000-0000-00003B000000}"/>
    <cellStyle name="Title" xfId="60" xr:uid="{00000000-0005-0000-0000-00003C000000}"/>
    <cellStyle name="Warning Text" xfId="61" xr:uid="{00000000-0005-0000-0000-00003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676276</xdr:colOff>
      <xdr:row>0</xdr:row>
      <xdr:rowOff>60511</xdr:rowOff>
    </xdr:from>
    <xdr:to>
      <xdr:col>10</xdr:col>
      <xdr:colOff>28575</xdr:colOff>
      <xdr:row>3</xdr:row>
      <xdr:rowOff>447675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F67B7080-3DA4-4466-8C04-BA3C610CF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1" y="60511"/>
          <a:ext cx="2600324" cy="156826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19</xdr:row>
      <xdr:rowOff>0</xdr:rowOff>
    </xdr:from>
    <xdr:to>
      <xdr:col>19</xdr:col>
      <xdr:colOff>123825</xdr:colOff>
      <xdr:row>21</xdr:row>
      <xdr:rowOff>170090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70F8289E-7BC2-4E21-96FB-96A707B07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83575" y="7915275"/>
          <a:ext cx="885825" cy="117974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933450</xdr:colOff>
      <xdr:row>0</xdr:row>
      <xdr:rowOff>66675</xdr:rowOff>
    </xdr:from>
    <xdr:to>
      <xdr:col>10</xdr:col>
      <xdr:colOff>968828</xdr:colOff>
      <xdr:row>5</xdr:row>
      <xdr:rowOff>336096</xdr:rowOff>
    </xdr:to>
    <xdr:pic>
      <xdr:nvPicPr>
        <xdr:cNvPr id="3" name="1 Imagen">
          <a:extLst>
            <a:ext uri="{FF2B5EF4-FFF2-40B4-BE49-F238E27FC236}">
              <a16:creationId xmlns:a16="http://schemas.microsoft.com/office/drawing/2014/main" id="{013E3701-8065-439F-B30E-23C08988A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4400" y="66675"/>
          <a:ext cx="2721428" cy="1821996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0</xdr:colOff>
      <xdr:row>21</xdr:row>
      <xdr:rowOff>0</xdr:rowOff>
    </xdr:from>
    <xdr:to>
      <xdr:col>19</xdr:col>
      <xdr:colOff>123825</xdr:colOff>
      <xdr:row>23</xdr:row>
      <xdr:rowOff>0</xdr:rowOff>
    </xdr:to>
    <xdr:pic>
      <xdr:nvPicPr>
        <xdr:cNvPr id="4" name="1 Imagen">
          <a:extLst>
            <a:ext uri="{FF2B5EF4-FFF2-40B4-BE49-F238E27FC236}">
              <a16:creationId xmlns:a16="http://schemas.microsoft.com/office/drawing/2014/main" id="{1BEF555D-C602-4E8B-802F-72312F635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83575" y="8924925"/>
          <a:ext cx="885825" cy="1009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0</xdr:colOff>
      <xdr:row>27</xdr:row>
      <xdr:rowOff>0</xdr:rowOff>
    </xdr:from>
    <xdr:ext cx="4381500" cy="1771650"/>
    <xdr:pic>
      <xdr:nvPicPr>
        <xdr:cNvPr id="5" name="Imagen 4">
          <a:extLst>
            <a:ext uri="{FF2B5EF4-FFF2-40B4-BE49-F238E27FC236}">
              <a16:creationId xmlns:a16="http://schemas.microsoft.com/office/drawing/2014/main" id="{46B4168F-D5BE-489F-B680-8678FC786F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1" t="4876" r="2252"/>
        <a:stretch/>
      </xdr:blipFill>
      <xdr:spPr bwMode="auto">
        <a:xfrm>
          <a:off x="4735286" y="10831286"/>
          <a:ext cx="43815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123024</xdr:colOff>
      <xdr:row>27</xdr:row>
      <xdr:rowOff>214593</xdr:rowOff>
    </xdr:from>
    <xdr:ext cx="4800601" cy="1409700"/>
    <xdr:pic>
      <xdr:nvPicPr>
        <xdr:cNvPr id="6" name="Imagen 5">
          <a:extLst>
            <a:ext uri="{FF2B5EF4-FFF2-40B4-BE49-F238E27FC236}">
              <a16:creationId xmlns:a16="http://schemas.microsoft.com/office/drawing/2014/main" id="{7AEE124D-23AB-4E54-AECD-9BA5DB4B9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2095" y="11045879"/>
          <a:ext cx="4800601" cy="140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219075</xdr:colOff>
          <xdr:row>10</xdr:row>
          <xdr:rowOff>180975</xdr:rowOff>
        </xdr:from>
        <xdr:to>
          <xdr:col>14</xdr:col>
          <xdr:colOff>95250</xdr:colOff>
          <xdr:row>11</xdr:row>
          <xdr:rowOff>266700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GT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Generar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19</xdr:row>
      <xdr:rowOff>0</xdr:rowOff>
    </xdr:from>
    <xdr:to>
      <xdr:col>19</xdr:col>
      <xdr:colOff>123825</xdr:colOff>
      <xdr:row>21</xdr:row>
      <xdr:rowOff>170090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22603D3-F17E-4B1E-B4AC-4A8D61449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83575" y="7915275"/>
          <a:ext cx="885825" cy="117974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933450</xdr:colOff>
      <xdr:row>0</xdr:row>
      <xdr:rowOff>66675</xdr:rowOff>
    </xdr:from>
    <xdr:to>
      <xdr:col>10</xdr:col>
      <xdr:colOff>968828</xdr:colOff>
      <xdr:row>5</xdr:row>
      <xdr:rowOff>336096</xdr:rowOff>
    </xdr:to>
    <xdr:pic>
      <xdr:nvPicPr>
        <xdr:cNvPr id="3" name="1 Imagen">
          <a:extLst>
            <a:ext uri="{FF2B5EF4-FFF2-40B4-BE49-F238E27FC236}">
              <a16:creationId xmlns:a16="http://schemas.microsoft.com/office/drawing/2014/main" id="{EC3EE9B1-E7DE-4220-8AE9-3B270C247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4400" y="66675"/>
          <a:ext cx="2721428" cy="1821996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0</xdr:colOff>
      <xdr:row>21</xdr:row>
      <xdr:rowOff>0</xdr:rowOff>
    </xdr:from>
    <xdr:to>
      <xdr:col>19</xdr:col>
      <xdr:colOff>123825</xdr:colOff>
      <xdr:row>23</xdr:row>
      <xdr:rowOff>0</xdr:rowOff>
    </xdr:to>
    <xdr:pic>
      <xdr:nvPicPr>
        <xdr:cNvPr id="4" name="1 Imagen">
          <a:extLst>
            <a:ext uri="{FF2B5EF4-FFF2-40B4-BE49-F238E27FC236}">
              <a16:creationId xmlns:a16="http://schemas.microsoft.com/office/drawing/2014/main" id="{A87388F4-F838-4DC7-8C39-49493555C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83575" y="8924925"/>
          <a:ext cx="885825" cy="1009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0</xdr:colOff>
      <xdr:row>27</xdr:row>
      <xdr:rowOff>0</xdr:rowOff>
    </xdr:from>
    <xdr:ext cx="4381500" cy="1771650"/>
    <xdr:pic>
      <xdr:nvPicPr>
        <xdr:cNvPr id="5" name="Imagen 4">
          <a:extLst>
            <a:ext uri="{FF2B5EF4-FFF2-40B4-BE49-F238E27FC236}">
              <a16:creationId xmlns:a16="http://schemas.microsoft.com/office/drawing/2014/main" id="{7DFFC335-C73F-440C-92A4-498172DD82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1" t="4876" r="2252"/>
        <a:stretch/>
      </xdr:blipFill>
      <xdr:spPr bwMode="auto">
        <a:xfrm>
          <a:off x="4724400" y="10848975"/>
          <a:ext cx="43815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123024</xdr:colOff>
      <xdr:row>27</xdr:row>
      <xdr:rowOff>214593</xdr:rowOff>
    </xdr:from>
    <xdr:ext cx="4800601" cy="1409700"/>
    <xdr:pic>
      <xdr:nvPicPr>
        <xdr:cNvPr id="6" name="Imagen 5">
          <a:extLst>
            <a:ext uri="{FF2B5EF4-FFF2-40B4-BE49-F238E27FC236}">
              <a16:creationId xmlns:a16="http://schemas.microsoft.com/office/drawing/2014/main" id="{3D209567-8D68-4453-B491-65867EF4A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9849" y="11063568"/>
          <a:ext cx="4800601" cy="140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219075</xdr:colOff>
          <xdr:row>10</xdr:row>
          <xdr:rowOff>180975</xdr:rowOff>
        </xdr:from>
        <xdr:to>
          <xdr:col>14</xdr:col>
          <xdr:colOff>95250</xdr:colOff>
          <xdr:row>11</xdr:row>
          <xdr:rowOff>266700</xdr:rowOff>
        </xdr:to>
        <xdr:sp macro="" textlink="">
          <xdr:nvSpPr>
            <xdr:cNvPr id="11265" name="Button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2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GT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Generar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19</xdr:row>
      <xdr:rowOff>0</xdr:rowOff>
    </xdr:from>
    <xdr:to>
      <xdr:col>19</xdr:col>
      <xdr:colOff>123825</xdr:colOff>
      <xdr:row>21</xdr:row>
      <xdr:rowOff>170090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CEBF82B1-FA30-4D77-A56D-09EC7FA6D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83575" y="7915275"/>
          <a:ext cx="885825" cy="117974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933450</xdr:colOff>
      <xdr:row>0</xdr:row>
      <xdr:rowOff>66675</xdr:rowOff>
    </xdr:from>
    <xdr:to>
      <xdr:col>10</xdr:col>
      <xdr:colOff>968828</xdr:colOff>
      <xdr:row>5</xdr:row>
      <xdr:rowOff>336096</xdr:rowOff>
    </xdr:to>
    <xdr:pic>
      <xdr:nvPicPr>
        <xdr:cNvPr id="3" name="1 Imagen">
          <a:extLst>
            <a:ext uri="{FF2B5EF4-FFF2-40B4-BE49-F238E27FC236}">
              <a16:creationId xmlns:a16="http://schemas.microsoft.com/office/drawing/2014/main" id="{BC98FB75-9D0C-4598-BDE5-60EB7433F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4400" y="66675"/>
          <a:ext cx="2721428" cy="1821996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0</xdr:colOff>
      <xdr:row>21</xdr:row>
      <xdr:rowOff>0</xdr:rowOff>
    </xdr:from>
    <xdr:to>
      <xdr:col>19</xdr:col>
      <xdr:colOff>123825</xdr:colOff>
      <xdr:row>23</xdr:row>
      <xdr:rowOff>0</xdr:rowOff>
    </xdr:to>
    <xdr:pic>
      <xdr:nvPicPr>
        <xdr:cNvPr id="4" name="1 Imagen">
          <a:extLst>
            <a:ext uri="{FF2B5EF4-FFF2-40B4-BE49-F238E27FC236}">
              <a16:creationId xmlns:a16="http://schemas.microsoft.com/office/drawing/2014/main" id="{0E417BC6-7C97-49B9-8F7B-B7CC67AAA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83575" y="8924925"/>
          <a:ext cx="885825" cy="1009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0</xdr:colOff>
      <xdr:row>27</xdr:row>
      <xdr:rowOff>0</xdr:rowOff>
    </xdr:from>
    <xdr:ext cx="4381500" cy="1771650"/>
    <xdr:pic>
      <xdr:nvPicPr>
        <xdr:cNvPr id="5" name="Imagen 4">
          <a:extLst>
            <a:ext uri="{FF2B5EF4-FFF2-40B4-BE49-F238E27FC236}">
              <a16:creationId xmlns:a16="http://schemas.microsoft.com/office/drawing/2014/main" id="{A0611A46-D4B3-4ABB-9286-52924AAA69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1" t="4876" r="2252"/>
        <a:stretch/>
      </xdr:blipFill>
      <xdr:spPr bwMode="auto">
        <a:xfrm>
          <a:off x="4724400" y="10848975"/>
          <a:ext cx="43815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123024</xdr:colOff>
      <xdr:row>27</xdr:row>
      <xdr:rowOff>214593</xdr:rowOff>
    </xdr:from>
    <xdr:ext cx="4800601" cy="1409700"/>
    <xdr:pic>
      <xdr:nvPicPr>
        <xdr:cNvPr id="6" name="Imagen 5">
          <a:extLst>
            <a:ext uri="{FF2B5EF4-FFF2-40B4-BE49-F238E27FC236}">
              <a16:creationId xmlns:a16="http://schemas.microsoft.com/office/drawing/2014/main" id="{42140101-0B82-4207-B094-27C4D5D0F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9849" y="11063568"/>
          <a:ext cx="4800601" cy="140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219075</xdr:colOff>
          <xdr:row>10</xdr:row>
          <xdr:rowOff>180975</xdr:rowOff>
        </xdr:from>
        <xdr:to>
          <xdr:col>14</xdr:col>
          <xdr:colOff>95250</xdr:colOff>
          <xdr:row>11</xdr:row>
          <xdr:rowOff>266700</xdr:rowOff>
        </xdr:to>
        <xdr:sp macro="" textlink="">
          <xdr:nvSpPr>
            <xdr:cNvPr id="12289" name="Button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3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GT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Generar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19</xdr:row>
      <xdr:rowOff>0</xdr:rowOff>
    </xdr:from>
    <xdr:to>
      <xdr:col>19</xdr:col>
      <xdr:colOff>123825</xdr:colOff>
      <xdr:row>21</xdr:row>
      <xdr:rowOff>170090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EA7F61E9-8C5D-4D23-B273-395020DBE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83575" y="7915275"/>
          <a:ext cx="885825" cy="117974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933450</xdr:colOff>
      <xdr:row>0</xdr:row>
      <xdr:rowOff>66675</xdr:rowOff>
    </xdr:from>
    <xdr:to>
      <xdr:col>10</xdr:col>
      <xdr:colOff>968828</xdr:colOff>
      <xdr:row>5</xdr:row>
      <xdr:rowOff>336096</xdr:rowOff>
    </xdr:to>
    <xdr:pic>
      <xdr:nvPicPr>
        <xdr:cNvPr id="3" name="1 Imagen">
          <a:extLst>
            <a:ext uri="{FF2B5EF4-FFF2-40B4-BE49-F238E27FC236}">
              <a16:creationId xmlns:a16="http://schemas.microsoft.com/office/drawing/2014/main" id="{877C73FA-5EB7-40AC-AFA0-BEE0F465B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4400" y="66675"/>
          <a:ext cx="2721428" cy="1821996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0</xdr:colOff>
      <xdr:row>21</xdr:row>
      <xdr:rowOff>0</xdr:rowOff>
    </xdr:from>
    <xdr:to>
      <xdr:col>19</xdr:col>
      <xdr:colOff>123825</xdr:colOff>
      <xdr:row>23</xdr:row>
      <xdr:rowOff>0</xdr:rowOff>
    </xdr:to>
    <xdr:pic>
      <xdr:nvPicPr>
        <xdr:cNvPr id="4" name="1 Imagen">
          <a:extLst>
            <a:ext uri="{FF2B5EF4-FFF2-40B4-BE49-F238E27FC236}">
              <a16:creationId xmlns:a16="http://schemas.microsoft.com/office/drawing/2014/main" id="{E079C7C1-DADF-47A7-96FE-D36130320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83575" y="8924925"/>
          <a:ext cx="885825" cy="1009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0</xdr:colOff>
      <xdr:row>27</xdr:row>
      <xdr:rowOff>0</xdr:rowOff>
    </xdr:from>
    <xdr:ext cx="4381500" cy="1771650"/>
    <xdr:pic>
      <xdr:nvPicPr>
        <xdr:cNvPr id="5" name="Imagen 4">
          <a:extLst>
            <a:ext uri="{FF2B5EF4-FFF2-40B4-BE49-F238E27FC236}">
              <a16:creationId xmlns:a16="http://schemas.microsoft.com/office/drawing/2014/main" id="{40A9554B-13E7-4932-9608-C78122BECD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1" t="4876" r="2252"/>
        <a:stretch/>
      </xdr:blipFill>
      <xdr:spPr bwMode="auto">
        <a:xfrm>
          <a:off x="4724400" y="10848975"/>
          <a:ext cx="43815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123024</xdr:colOff>
      <xdr:row>27</xdr:row>
      <xdr:rowOff>214593</xdr:rowOff>
    </xdr:from>
    <xdr:ext cx="4800601" cy="1409700"/>
    <xdr:pic>
      <xdr:nvPicPr>
        <xdr:cNvPr id="6" name="Imagen 5">
          <a:extLst>
            <a:ext uri="{FF2B5EF4-FFF2-40B4-BE49-F238E27FC236}">
              <a16:creationId xmlns:a16="http://schemas.microsoft.com/office/drawing/2014/main" id="{8B0B5010-A25D-4A9E-A2E3-F82F6AD0E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9849" y="11063568"/>
          <a:ext cx="4800601" cy="140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219075</xdr:colOff>
          <xdr:row>10</xdr:row>
          <xdr:rowOff>180975</xdr:rowOff>
        </xdr:from>
        <xdr:to>
          <xdr:col>14</xdr:col>
          <xdr:colOff>95250</xdr:colOff>
          <xdr:row>11</xdr:row>
          <xdr:rowOff>266700</xdr:rowOff>
        </xdr:to>
        <xdr:sp macro="" textlink="">
          <xdr:nvSpPr>
            <xdr:cNvPr id="13313" name="Button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4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GT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Generar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rch_Hojas\VARIOS\Formatos\LIMI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endabarrios/Desktop/Control%20Tecnol&#243;gico/Laboratorio%20de%20Control%20Tecnol&#243;gico/DOCUMENTACI&#211;N/Asfalto/A/Mezcla%20A%20cortada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/Users/inter/Google%20Drive/PROYECTOS%20RECIENTES/SERINGE/INVERSIONES%20CACERES%20Y%20ASOCIADOS%20S.A/PROYECTO%20LOS%20CHILARES%20ZARAGOZA/BANCO%20DE%20PRESTAMO%20PARA%20BASE%20LOS%20CHILARES,%20LAS%20LOMAS/MANUEL%20CASTELLANOS/Ensayo%20C.B.R.%20-%20Terraplen.xls?95FE981D" TargetMode="External"/><Relationship Id="rId1" Type="http://schemas.openxmlformats.org/officeDocument/2006/relationships/externalLinkPath" Target="file:///\\95FE981D\Ensayo%20C.B.R.%20-%20Terraple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ANUEL%20CASTELLANOS\Ensayo%20C.B.R.%20-%20Terraple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endabarrios/Desktop/Control%20Tecnol&#243;gico/Laboratorio%20de%20Control%20Tecnol&#243;gico/DOCUMENTACI&#211;N/Asfalto/H/WINDOWS/Escritorio/LABORATORIO/Suelo/Densidades/@Laboratorio/5%20Asfalto/AGOST%201998/granulometria10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erjo/OneDrive/Escritorio/PROYECTOS%20RECIENTES/SERINGE/PROYECTO%20CPE.%20TRAMOS%20SIQUINALA%20-%20SANTA%20LUCIA%20COTZ,%20ESCUINTLA/SIQUINALA/Users/ccorzo/Downloads/PROCTOR%20ENSAYOS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microsoft.com/office/2019/04/relationships/externalLinkLongPath" Target="file:///\\Pcserver\disco%20pc\Documentos\PEB%202006\Mayo%202006\Proyecto%20Ingevial\Proyecto%20GCO%202006\Planillas%20de%20Mezcla%20Elaborada\WINDOWS\Escritorio\LABORATORIO\Suelo\Densidades\@Laboratorio\5%20Asfalto\AGOST%201998\granulometria1000.xls?EE3CCC52" TargetMode="External"/><Relationship Id="rId1" Type="http://schemas.openxmlformats.org/officeDocument/2006/relationships/externalLinkPath" Target="file:///\\EE3CCC52\granulometria100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Liquidacion\Paquete%20III\Control%20de%20Calidad\Excel\Asfalto%20Rodadura%20Compactacion,%20Espesor%20Inf.%20Mensu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Mis%20documentos/TRAMO%20OC-6/PLANILLAS%20DE%20LABORATORIO%20DE%20SUELOS%20&amp;%20ASFALTOS/ICA%20-%20ASFALTOS/Dosificaci&#243;n%20N&#186;%201%20-%20Ica-Construmat%20HP-1000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microsoft.com/office/2019/04/relationships/externalLinkLongPath" Target="/Users/brendabarrios/Desktop/Control%20Tecnol&#243;gico/Laboratorio%20de%20Control%20Tecnol&#243;gico/DOCUMENTACI&#211;N/Asfalto/PLANILLAS%20LABORATORIO/WINDOWS/Escritorio/LABORATORIO/Suelo/Densidades/@Laboratorio/5%20Asfalto/AGOST%201998/granulometria1000.xls?DF785C4C" TargetMode="External"/><Relationship Id="rId1" Type="http://schemas.openxmlformats.org/officeDocument/2006/relationships/externalLinkPath" Target="file:///\\DF785C4C\granulometria1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endabarrios/Desktop/Control%20Tecnol&#243;gico/Laboratorio%20de%20Control%20Tecnol&#243;gico/DOCUMENTACI&#211;N/Asfalto/A/WINDOWS/Escritorio/LABORATORIO/Suelo/Densidades/@Laboratorio/5%20Asfalto/AGOST%201998/granulometria1000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microsoft.com/office/2019/04/relationships/externalLinkLongPath" Target="/Users/inter/Google%20Drive/PROYECTOS%20RECIENTES/SERINGE/INVERSIONES%20CACERES%20Y%20ASOCIADOS%20S.A/PROYECTO%20LOS%20CHILARES%20ZARAGOZA/BANCO%20DE%20PRESTAMO%20PARA%20BASE%20LOS%20CHILARES,%20LAS%20LOMAS/MANUEL%20CASTELLANOS/Ensayo%20de%20compactaci&#243;n.xls?95FE981D" TargetMode="External"/><Relationship Id="rId1" Type="http://schemas.openxmlformats.org/officeDocument/2006/relationships/externalLinkPath" Target="file:///\\95FE981D\Ensayo%20de%20compactaci&#243;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ANUEL%20CASTELLANOS\Ensayo%20de%20compactaci&#243;n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perUser\AppData\Roaming\Microsoft\Excel\XLSTART\PERSONAL.XLSB" TargetMode="External"/><Relationship Id="rId1" Type="http://schemas.microsoft.com/office/2006/relationships/xlExternalLinkPath/xlStartup" Target="PERSONAL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MIT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"/>
      <sheetName val="Individuales"/>
    </sheetNames>
    <sheetDataSet>
      <sheetData sheetId="0" refreshError="1"/>
      <sheetData sheetId="1" refreshError="1">
        <row r="26">
          <cell r="I26">
            <v>100</v>
          </cell>
        </row>
        <row r="29">
          <cell r="I29">
            <v>100</v>
          </cell>
        </row>
        <row r="32">
          <cell r="I32">
            <v>100</v>
          </cell>
        </row>
        <row r="35">
          <cell r="I35">
            <v>100</v>
          </cell>
        </row>
        <row r="38">
          <cell r="I38">
            <v>100</v>
          </cell>
        </row>
        <row r="41">
          <cell r="I41">
            <v>100</v>
          </cell>
        </row>
        <row r="46">
          <cell r="I46">
            <v>100</v>
          </cell>
        </row>
        <row r="49">
          <cell r="I49">
            <v>100</v>
          </cell>
        </row>
        <row r="52">
          <cell r="I52">
            <v>100</v>
          </cell>
        </row>
        <row r="55">
          <cell r="I55">
            <v>100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lasificación"/>
      <sheetName val="Cápsulas"/>
      <sheetName val="Soporte Cargas"/>
      <sheetName val="Gráfico CBR"/>
      <sheetName val="Clasificación (2)"/>
      <sheetName val="MOLDES CBR"/>
    </sheetNames>
    <sheetDataSet>
      <sheetData sheetId="0"/>
      <sheetData sheetId="1"/>
      <sheetData sheetId="2"/>
      <sheetData sheetId="3">
        <row r="42">
          <cell r="H42">
            <v>1443</v>
          </cell>
        </row>
        <row r="56">
          <cell r="AD56">
            <v>3.4098999999999999</v>
          </cell>
        </row>
        <row r="57">
          <cell r="AD57" t="str">
            <v>??</v>
          </cell>
        </row>
      </sheetData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lasificación"/>
      <sheetName val="Cápsulas"/>
      <sheetName val="Soporte Cargas"/>
      <sheetName val="Gráfico CBR"/>
      <sheetName val="Clasificación (2)"/>
      <sheetName val="MOLDES CBR"/>
    </sheetNames>
    <sheetDataSet>
      <sheetData sheetId="0"/>
      <sheetData sheetId="1"/>
      <sheetData sheetId="2"/>
      <sheetData sheetId="3">
        <row r="42">
          <cell r="H42">
            <v>1443</v>
          </cell>
        </row>
        <row r="56">
          <cell r="AD56">
            <v>3.4098999999999999</v>
          </cell>
        </row>
        <row r="57">
          <cell r="AD57" t="str">
            <v>??</v>
          </cell>
        </row>
      </sheetData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Hoja0"/>
      <sheetName val="granulometria1000"/>
      <sheetName val="\WINDOWS\Escritorio\LABORATORIO"/>
      <sheetName val="granulometria1000.xls"/>
    </sheetNames>
    <definedNames>
      <definedName name="borrad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 de Cálculo"/>
      <sheetName val="Planilla de Cálculo Formato"/>
      <sheetName val="orden392"/>
      <sheetName val="orden415"/>
      <sheetName val="orden332"/>
    </sheetNames>
    <sheetDataSet>
      <sheetData sheetId="0">
        <row r="5">
          <cell r="E5" t="str">
            <v>Autopista Madden-Colon II fase</v>
          </cell>
          <cell r="R5">
            <v>4</v>
          </cell>
        </row>
        <row r="6">
          <cell r="E6" t="str">
            <v>57+720</v>
          </cell>
        </row>
        <row r="7">
          <cell r="E7" t="str">
            <v>tramo 4</v>
          </cell>
        </row>
        <row r="10">
          <cell r="H10">
            <v>1860</v>
          </cell>
        </row>
        <row r="11">
          <cell r="H11">
            <v>929.3</v>
          </cell>
        </row>
        <row r="12">
          <cell r="H12">
            <v>2.5</v>
          </cell>
        </row>
        <row r="13">
          <cell r="H13">
            <v>30.48</v>
          </cell>
        </row>
        <row r="14">
          <cell r="H14" t="str">
            <v>Estándar</v>
          </cell>
        </row>
        <row r="15">
          <cell r="H15">
            <v>3</v>
          </cell>
        </row>
        <row r="16">
          <cell r="H16">
            <v>25</v>
          </cell>
        </row>
        <row r="20">
          <cell r="I20" t="str">
            <v>A-1</v>
          </cell>
          <cell r="K20" t="str">
            <v>A-6</v>
          </cell>
          <cell r="M20" t="str">
            <v>A--30</v>
          </cell>
          <cell r="O20" t="str">
            <v>A-1</v>
          </cell>
          <cell r="Q20" t="str">
            <v>A-5</v>
          </cell>
        </row>
        <row r="21">
          <cell r="I21">
            <v>165</v>
          </cell>
          <cell r="K21">
            <v>170</v>
          </cell>
          <cell r="M21">
            <v>160</v>
          </cell>
          <cell r="O21">
            <v>170</v>
          </cell>
          <cell r="Q21">
            <v>170</v>
          </cell>
        </row>
        <row r="22">
          <cell r="I22">
            <v>145</v>
          </cell>
          <cell r="K22">
            <v>145</v>
          </cell>
          <cell r="M22">
            <v>135</v>
          </cell>
          <cell r="O22">
            <v>140</v>
          </cell>
          <cell r="Q22">
            <v>140</v>
          </cell>
        </row>
        <row r="24">
          <cell r="I24">
            <v>65</v>
          </cell>
          <cell r="K24">
            <v>70</v>
          </cell>
          <cell r="M24">
            <v>80</v>
          </cell>
          <cell r="O24">
            <v>70</v>
          </cell>
          <cell r="Q24">
            <v>70</v>
          </cell>
        </row>
        <row r="28">
          <cell r="I28">
            <v>-0.02</v>
          </cell>
          <cell r="K28" t="str">
            <v>Nat</v>
          </cell>
          <cell r="M28">
            <v>0.02</v>
          </cell>
        </row>
        <row r="29">
          <cell r="I29">
            <v>3315</v>
          </cell>
          <cell r="K29">
            <v>3425</v>
          </cell>
          <cell r="M29">
            <v>3465</v>
          </cell>
          <cell r="O29">
            <v>3485</v>
          </cell>
          <cell r="Q29">
            <v>3465</v>
          </cell>
        </row>
      </sheetData>
      <sheetData sheetId="1"/>
      <sheetData sheetId="2"/>
      <sheetData sheetId="3"/>
      <sheetData sheetId="4">
        <row r="65">
          <cell r="I65">
            <v>5.854590425232443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Hoja0"/>
      <sheetName val="granulometria1000"/>
      <sheetName val="\\Pcserver\disco pc\Documentos\"/>
    </sheetNames>
    <definedNames>
      <definedName name="borrado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ción"/>
      <sheetName val="Espesor"/>
      <sheetName val="Raw-data Compactación"/>
      <sheetName val="Raw-data Espesor"/>
      <sheetName val="Estadístico del Rodadura"/>
      <sheetName val="Rodadura"/>
    </sheetNames>
    <sheetDataSet>
      <sheetData sheetId="0"/>
      <sheetData sheetId="1">
        <row r="10">
          <cell r="A10">
            <v>10</v>
          </cell>
          <cell r="H10">
            <v>5.3</v>
          </cell>
        </row>
        <row r="11">
          <cell r="A11">
            <v>20</v>
          </cell>
          <cell r="E11">
            <v>5.7</v>
          </cell>
          <cell r="H11">
            <v>5.3</v>
          </cell>
        </row>
        <row r="12">
          <cell r="A12">
            <v>30</v>
          </cell>
          <cell r="H12">
            <v>5.3</v>
          </cell>
        </row>
        <row r="13">
          <cell r="A13">
            <v>40</v>
          </cell>
          <cell r="H13">
            <v>5.3</v>
          </cell>
        </row>
        <row r="14">
          <cell r="A14">
            <v>50</v>
          </cell>
          <cell r="H14">
            <v>5.3</v>
          </cell>
        </row>
        <row r="15">
          <cell r="A15">
            <v>60</v>
          </cell>
          <cell r="H15">
            <v>5.3</v>
          </cell>
        </row>
        <row r="16">
          <cell r="A16">
            <v>70</v>
          </cell>
          <cell r="H16">
            <v>5.3</v>
          </cell>
        </row>
        <row r="17">
          <cell r="A17">
            <v>80</v>
          </cell>
          <cell r="H17">
            <v>5.3</v>
          </cell>
        </row>
        <row r="18">
          <cell r="A18">
            <v>90</v>
          </cell>
          <cell r="H18">
            <v>5.3</v>
          </cell>
        </row>
        <row r="19">
          <cell r="A19">
            <v>100</v>
          </cell>
          <cell r="H19">
            <v>5.3</v>
          </cell>
        </row>
        <row r="20">
          <cell r="A20">
            <v>110</v>
          </cell>
          <cell r="H20">
            <v>5.3</v>
          </cell>
        </row>
        <row r="21">
          <cell r="A21">
            <v>120</v>
          </cell>
          <cell r="D21">
            <v>4</v>
          </cell>
          <cell r="H21">
            <v>5.3</v>
          </cell>
        </row>
        <row r="22">
          <cell r="A22">
            <v>130</v>
          </cell>
          <cell r="H22">
            <v>5.3</v>
          </cell>
        </row>
        <row r="23">
          <cell r="A23">
            <v>140</v>
          </cell>
          <cell r="H23">
            <v>5.3</v>
          </cell>
        </row>
        <row r="24">
          <cell r="A24">
            <v>150</v>
          </cell>
          <cell r="G24">
            <v>4.8</v>
          </cell>
          <cell r="H24">
            <v>5.3</v>
          </cell>
        </row>
        <row r="25">
          <cell r="A25">
            <v>160</v>
          </cell>
          <cell r="H25">
            <v>5.3</v>
          </cell>
        </row>
        <row r="26">
          <cell r="A26">
            <v>170</v>
          </cell>
          <cell r="H26">
            <v>5.3</v>
          </cell>
        </row>
        <row r="27">
          <cell r="A27">
            <v>180</v>
          </cell>
          <cell r="H27">
            <v>5.3</v>
          </cell>
        </row>
        <row r="28">
          <cell r="A28">
            <v>190</v>
          </cell>
          <cell r="H28">
            <v>5.3</v>
          </cell>
        </row>
        <row r="29">
          <cell r="A29">
            <v>200</v>
          </cell>
          <cell r="H29">
            <v>5.3</v>
          </cell>
        </row>
        <row r="30">
          <cell r="A30">
            <v>210</v>
          </cell>
          <cell r="H30">
            <v>5.3</v>
          </cell>
        </row>
        <row r="31">
          <cell r="A31">
            <v>220</v>
          </cell>
          <cell r="H31">
            <v>5.3</v>
          </cell>
        </row>
        <row r="32">
          <cell r="A32">
            <v>230</v>
          </cell>
          <cell r="H32">
            <v>5.3</v>
          </cell>
        </row>
        <row r="33">
          <cell r="A33">
            <v>240</v>
          </cell>
          <cell r="H33">
            <v>5.3</v>
          </cell>
        </row>
        <row r="34">
          <cell r="A34">
            <v>250</v>
          </cell>
          <cell r="H34">
            <v>5.3</v>
          </cell>
        </row>
        <row r="35">
          <cell r="A35">
            <v>260</v>
          </cell>
          <cell r="H35">
            <v>5.3</v>
          </cell>
        </row>
        <row r="36">
          <cell r="A36">
            <v>270</v>
          </cell>
          <cell r="C36">
            <v>5.2</v>
          </cell>
          <cell r="H36">
            <v>5.3</v>
          </cell>
        </row>
        <row r="37">
          <cell r="A37">
            <v>280</v>
          </cell>
          <cell r="H37">
            <v>5.3</v>
          </cell>
        </row>
        <row r="38">
          <cell r="A38">
            <v>290</v>
          </cell>
          <cell r="H38">
            <v>5.3</v>
          </cell>
        </row>
        <row r="39">
          <cell r="A39">
            <v>300</v>
          </cell>
          <cell r="H39">
            <v>5.3</v>
          </cell>
        </row>
        <row r="40">
          <cell r="A40">
            <v>310</v>
          </cell>
          <cell r="H40">
            <v>5.3</v>
          </cell>
        </row>
        <row r="41">
          <cell r="A41">
            <v>320</v>
          </cell>
          <cell r="H41">
            <v>5.3</v>
          </cell>
        </row>
        <row r="42">
          <cell r="A42">
            <v>330</v>
          </cell>
          <cell r="H42">
            <v>5.3</v>
          </cell>
        </row>
        <row r="43">
          <cell r="A43">
            <v>340</v>
          </cell>
          <cell r="H43">
            <v>5.3</v>
          </cell>
        </row>
        <row r="44">
          <cell r="A44">
            <v>350</v>
          </cell>
          <cell r="F44">
            <v>5.3</v>
          </cell>
          <cell r="H44">
            <v>5.3</v>
          </cell>
        </row>
        <row r="45">
          <cell r="A45">
            <v>360</v>
          </cell>
          <cell r="H45">
            <v>5.3</v>
          </cell>
        </row>
        <row r="46">
          <cell r="A46">
            <v>370</v>
          </cell>
          <cell r="H46">
            <v>5.3</v>
          </cell>
        </row>
        <row r="47">
          <cell r="A47">
            <v>380</v>
          </cell>
          <cell r="H47">
            <v>5.3</v>
          </cell>
        </row>
        <row r="48">
          <cell r="A48">
            <v>390</v>
          </cell>
          <cell r="H48">
            <v>5.3</v>
          </cell>
        </row>
        <row r="49">
          <cell r="A49">
            <v>400</v>
          </cell>
          <cell r="H49">
            <v>5.3</v>
          </cell>
        </row>
        <row r="50">
          <cell r="A50">
            <v>410</v>
          </cell>
          <cell r="H50">
            <v>5.3</v>
          </cell>
        </row>
        <row r="51">
          <cell r="A51">
            <v>420</v>
          </cell>
          <cell r="B51">
            <v>5</v>
          </cell>
          <cell r="H51">
            <v>5.3</v>
          </cell>
        </row>
        <row r="52">
          <cell r="A52">
            <v>430</v>
          </cell>
          <cell r="H52">
            <v>5.3</v>
          </cell>
        </row>
        <row r="53">
          <cell r="A53">
            <v>440</v>
          </cell>
          <cell r="H53">
            <v>5.3</v>
          </cell>
        </row>
        <row r="54">
          <cell r="A54">
            <v>450</v>
          </cell>
          <cell r="H54">
            <v>5.3</v>
          </cell>
        </row>
        <row r="55">
          <cell r="A55">
            <v>460</v>
          </cell>
          <cell r="H55">
            <v>5.3</v>
          </cell>
        </row>
        <row r="56">
          <cell r="A56">
            <v>470</v>
          </cell>
          <cell r="H56">
            <v>5.3</v>
          </cell>
        </row>
        <row r="57">
          <cell r="A57">
            <v>480</v>
          </cell>
          <cell r="H57">
            <v>5.3</v>
          </cell>
        </row>
        <row r="58">
          <cell r="A58">
            <v>490</v>
          </cell>
          <cell r="H58">
            <v>5.3</v>
          </cell>
        </row>
        <row r="59">
          <cell r="A59">
            <v>500</v>
          </cell>
          <cell r="H59">
            <v>5.3</v>
          </cell>
        </row>
        <row r="60">
          <cell r="A60">
            <v>510</v>
          </cell>
          <cell r="H60">
            <v>5.3</v>
          </cell>
        </row>
        <row r="61">
          <cell r="A61">
            <v>520</v>
          </cell>
          <cell r="H61">
            <v>5.3</v>
          </cell>
        </row>
        <row r="62">
          <cell r="A62">
            <v>530</v>
          </cell>
          <cell r="H62">
            <v>5.3</v>
          </cell>
        </row>
        <row r="63">
          <cell r="A63">
            <v>540</v>
          </cell>
          <cell r="H63">
            <v>5.3</v>
          </cell>
        </row>
        <row r="64">
          <cell r="A64">
            <v>550</v>
          </cell>
          <cell r="F64">
            <v>5.0999999999999996</v>
          </cell>
          <cell r="H64">
            <v>5.3</v>
          </cell>
        </row>
        <row r="65">
          <cell r="A65">
            <v>560</v>
          </cell>
          <cell r="H65">
            <v>5.3</v>
          </cell>
        </row>
        <row r="66">
          <cell r="A66">
            <v>570</v>
          </cell>
          <cell r="D66">
            <v>5</v>
          </cell>
          <cell r="H66">
            <v>5.3</v>
          </cell>
        </row>
        <row r="67">
          <cell r="A67">
            <v>580</v>
          </cell>
          <cell r="H67">
            <v>5.3</v>
          </cell>
        </row>
        <row r="68">
          <cell r="A68">
            <v>590</v>
          </cell>
          <cell r="H68">
            <v>5.3</v>
          </cell>
        </row>
        <row r="69">
          <cell r="A69">
            <v>600</v>
          </cell>
          <cell r="H69">
            <v>5.3</v>
          </cell>
        </row>
        <row r="70">
          <cell r="A70">
            <v>610</v>
          </cell>
          <cell r="H70">
            <v>5.3</v>
          </cell>
        </row>
        <row r="71">
          <cell r="A71">
            <v>620</v>
          </cell>
          <cell r="H71">
            <v>5.3</v>
          </cell>
        </row>
        <row r="72">
          <cell r="A72">
            <v>630</v>
          </cell>
          <cell r="H72">
            <v>5.3</v>
          </cell>
        </row>
        <row r="73">
          <cell r="A73">
            <v>640</v>
          </cell>
          <cell r="H73">
            <v>5.3</v>
          </cell>
        </row>
        <row r="74">
          <cell r="A74">
            <v>650</v>
          </cell>
          <cell r="H74">
            <v>5.3</v>
          </cell>
        </row>
        <row r="75">
          <cell r="A75">
            <v>660</v>
          </cell>
          <cell r="H75">
            <v>5.3</v>
          </cell>
        </row>
        <row r="76">
          <cell r="A76">
            <v>670</v>
          </cell>
          <cell r="H76">
            <v>5.3</v>
          </cell>
        </row>
        <row r="77">
          <cell r="A77">
            <v>680</v>
          </cell>
          <cell r="H77">
            <v>5.3</v>
          </cell>
        </row>
        <row r="78">
          <cell r="A78">
            <v>690</v>
          </cell>
          <cell r="H78">
            <v>5.3</v>
          </cell>
        </row>
        <row r="79">
          <cell r="A79">
            <v>700</v>
          </cell>
          <cell r="H79">
            <v>5.3</v>
          </cell>
        </row>
        <row r="80">
          <cell r="A80">
            <v>710</v>
          </cell>
          <cell r="H80">
            <v>5.3</v>
          </cell>
        </row>
        <row r="81">
          <cell r="A81">
            <v>720</v>
          </cell>
          <cell r="C81">
            <v>5</v>
          </cell>
          <cell r="H81">
            <v>5.3</v>
          </cell>
        </row>
        <row r="82">
          <cell r="A82">
            <v>730</v>
          </cell>
          <cell r="H82">
            <v>5.3</v>
          </cell>
        </row>
        <row r="83">
          <cell r="A83">
            <v>740</v>
          </cell>
          <cell r="H83">
            <v>5.3</v>
          </cell>
        </row>
        <row r="84">
          <cell r="A84">
            <v>750</v>
          </cell>
          <cell r="G84">
            <v>5.2</v>
          </cell>
          <cell r="H84">
            <v>5.3</v>
          </cell>
        </row>
        <row r="85">
          <cell r="A85">
            <v>760</v>
          </cell>
          <cell r="H85">
            <v>5.3</v>
          </cell>
        </row>
        <row r="86">
          <cell r="A86">
            <v>770</v>
          </cell>
          <cell r="H86">
            <v>5.3</v>
          </cell>
        </row>
        <row r="87">
          <cell r="A87">
            <v>780</v>
          </cell>
          <cell r="H87">
            <v>5.3</v>
          </cell>
        </row>
        <row r="88">
          <cell r="A88">
            <v>790</v>
          </cell>
          <cell r="H88">
            <v>5.3</v>
          </cell>
        </row>
        <row r="89">
          <cell r="A89">
            <v>800</v>
          </cell>
          <cell r="H89">
            <v>5.3</v>
          </cell>
        </row>
        <row r="90">
          <cell r="A90">
            <v>810</v>
          </cell>
          <cell r="H90">
            <v>5.3</v>
          </cell>
        </row>
        <row r="91">
          <cell r="A91">
            <v>820</v>
          </cell>
          <cell r="H91">
            <v>5.3</v>
          </cell>
        </row>
        <row r="92">
          <cell r="A92">
            <v>830</v>
          </cell>
          <cell r="H92">
            <v>5.3</v>
          </cell>
        </row>
        <row r="93">
          <cell r="A93">
            <v>840</v>
          </cell>
          <cell r="H93">
            <v>5.3</v>
          </cell>
        </row>
        <row r="94">
          <cell r="A94">
            <v>850</v>
          </cell>
          <cell r="H94">
            <v>5.3</v>
          </cell>
        </row>
        <row r="95">
          <cell r="A95">
            <v>860</v>
          </cell>
          <cell r="H95">
            <v>5.3</v>
          </cell>
        </row>
        <row r="96">
          <cell r="A96">
            <v>870</v>
          </cell>
          <cell r="B96">
            <v>4.5</v>
          </cell>
          <cell r="H96">
            <v>5.3</v>
          </cell>
        </row>
        <row r="97">
          <cell r="A97">
            <v>880</v>
          </cell>
          <cell r="H97">
            <v>5.3</v>
          </cell>
        </row>
        <row r="98">
          <cell r="A98">
            <v>890</v>
          </cell>
          <cell r="H98">
            <v>5.3</v>
          </cell>
        </row>
        <row r="99">
          <cell r="A99">
            <v>900</v>
          </cell>
          <cell r="H99">
            <v>5.3</v>
          </cell>
        </row>
        <row r="100">
          <cell r="A100">
            <v>910</v>
          </cell>
          <cell r="H100">
            <v>5.3</v>
          </cell>
        </row>
        <row r="101">
          <cell r="A101">
            <v>920</v>
          </cell>
          <cell r="H101">
            <v>5.3</v>
          </cell>
        </row>
        <row r="102">
          <cell r="A102">
            <v>930</v>
          </cell>
          <cell r="H102">
            <v>5.3</v>
          </cell>
        </row>
        <row r="103">
          <cell r="A103">
            <v>940</v>
          </cell>
          <cell r="H103">
            <v>5.3</v>
          </cell>
        </row>
        <row r="104">
          <cell r="A104">
            <v>950</v>
          </cell>
          <cell r="H104">
            <v>5.3</v>
          </cell>
        </row>
        <row r="105">
          <cell r="A105">
            <v>960</v>
          </cell>
          <cell r="H105">
            <v>5.3</v>
          </cell>
        </row>
        <row r="106">
          <cell r="A106">
            <v>970</v>
          </cell>
          <cell r="H106">
            <v>5.3</v>
          </cell>
        </row>
        <row r="107">
          <cell r="A107">
            <v>980</v>
          </cell>
          <cell r="H107">
            <v>5.3</v>
          </cell>
        </row>
        <row r="108">
          <cell r="A108">
            <v>990</v>
          </cell>
          <cell r="H108">
            <v>5.3</v>
          </cell>
        </row>
        <row r="109">
          <cell r="A109">
            <v>1000</v>
          </cell>
          <cell r="H109">
            <v>5.3</v>
          </cell>
        </row>
        <row r="110">
          <cell r="A110">
            <v>1010</v>
          </cell>
          <cell r="H110">
            <v>5.3</v>
          </cell>
        </row>
        <row r="111">
          <cell r="A111">
            <v>1020</v>
          </cell>
          <cell r="H111">
            <v>5.3</v>
          </cell>
        </row>
        <row r="112">
          <cell r="A112">
            <v>1030</v>
          </cell>
          <cell r="H112">
            <v>5.3</v>
          </cell>
        </row>
        <row r="113">
          <cell r="A113">
            <v>1040</v>
          </cell>
          <cell r="H113">
            <v>5.3</v>
          </cell>
        </row>
        <row r="114">
          <cell r="A114">
            <v>1050</v>
          </cell>
          <cell r="H114">
            <v>5.3</v>
          </cell>
        </row>
        <row r="115">
          <cell r="A115">
            <v>1060</v>
          </cell>
          <cell r="H115">
            <v>5.3</v>
          </cell>
        </row>
        <row r="116">
          <cell r="A116">
            <v>1070</v>
          </cell>
          <cell r="H116">
            <v>5.3</v>
          </cell>
        </row>
        <row r="117">
          <cell r="A117">
            <v>1080</v>
          </cell>
          <cell r="H117">
            <v>5.3</v>
          </cell>
        </row>
        <row r="118">
          <cell r="A118">
            <v>1090</v>
          </cell>
          <cell r="H118">
            <v>5.3</v>
          </cell>
        </row>
        <row r="119">
          <cell r="A119">
            <v>1100</v>
          </cell>
          <cell r="H119">
            <v>5.3</v>
          </cell>
        </row>
        <row r="120">
          <cell r="A120">
            <v>1110</v>
          </cell>
          <cell r="H120">
            <v>5.3</v>
          </cell>
        </row>
        <row r="121">
          <cell r="A121">
            <v>1120</v>
          </cell>
          <cell r="H121">
            <v>5.3</v>
          </cell>
        </row>
        <row r="122">
          <cell r="A122">
            <v>1130</v>
          </cell>
          <cell r="H122">
            <v>5.3</v>
          </cell>
        </row>
        <row r="123">
          <cell r="A123">
            <v>1140</v>
          </cell>
          <cell r="H123">
            <v>5.3</v>
          </cell>
        </row>
        <row r="124">
          <cell r="A124">
            <v>1150</v>
          </cell>
          <cell r="D124">
            <v>5.6</v>
          </cell>
          <cell r="H124">
            <v>5.3</v>
          </cell>
        </row>
        <row r="125">
          <cell r="A125">
            <v>1160</v>
          </cell>
          <cell r="H125">
            <v>5.3</v>
          </cell>
        </row>
        <row r="126">
          <cell r="A126">
            <v>1170</v>
          </cell>
          <cell r="H126">
            <v>5.3</v>
          </cell>
        </row>
        <row r="127">
          <cell r="A127">
            <v>1180</v>
          </cell>
          <cell r="H127">
            <v>5.3</v>
          </cell>
        </row>
        <row r="128">
          <cell r="A128">
            <v>1190</v>
          </cell>
          <cell r="H128">
            <v>5.3</v>
          </cell>
        </row>
        <row r="129">
          <cell r="A129">
            <v>1200</v>
          </cell>
          <cell r="H129">
            <v>5.3</v>
          </cell>
        </row>
        <row r="130">
          <cell r="A130">
            <v>1210</v>
          </cell>
          <cell r="H130">
            <v>5.3</v>
          </cell>
        </row>
        <row r="131">
          <cell r="A131">
            <v>1220</v>
          </cell>
          <cell r="H131">
            <v>5.3</v>
          </cell>
        </row>
        <row r="132">
          <cell r="A132">
            <v>1230</v>
          </cell>
          <cell r="H132">
            <v>5.3</v>
          </cell>
        </row>
        <row r="133">
          <cell r="A133">
            <v>1240</v>
          </cell>
          <cell r="H133">
            <v>5.3</v>
          </cell>
        </row>
        <row r="134">
          <cell r="A134">
            <v>1250</v>
          </cell>
          <cell r="H134">
            <v>5.3</v>
          </cell>
        </row>
        <row r="135">
          <cell r="A135">
            <v>1260</v>
          </cell>
          <cell r="H135">
            <v>5.3</v>
          </cell>
        </row>
        <row r="136">
          <cell r="A136">
            <v>1270</v>
          </cell>
          <cell r="H136">
            <v>5.3</v>
          </cell>
        </row>
        <row r="137">
          <cell r="A137">
            <v>1280</v>
          </cell>
          <cell r="H137">
            <v>5.3</v>
          </cell>
        </row>
        <row r="138">
          <cell r="A138">
            <v>1290</v>
          </cell>
          <cell r="H138">
            <v>5.3</v>
          </cell>
        </row>
        <row r="139">
          <cell r="A139">
            <v>1300</v>
          </cell>
          <cell r="H139">
            <v>5.3</v>
          </cell>
        </row>
        <row r="140">
          <cell r="A140">
            <v>1310</v>
          </cell>
          <cell r="H140">
            <v>5.3</v>
          </cell>
        </row>
        <row r="141">
          <cell r="A141">
            <v>1320</v>
          </cell>
          <cell r="H141">
            <v>5.3</v>
          </cell>
        </row>
        <row r="142">
          <cell r="A142">
            <v>1330</v>
          </cell>
          <cell r="H142">
            <v>5.3</v>
          </cell>
        </row>
        <row r="143">
          <cell r="A143">
            <v>1340</v>
          </cell>
          <cell r="H143">
            <v>5.3</v>
          </cell>
        </row>
        <row r="144">
          <cell r="A144">
            <v>1350</v>
          </cell>
          <cell r="C144">
            <v>5.2</v>
          </cell>
          <cell r="H144">
            <v>5.3</v>
          </cell>
        </row>
        <row r="145">
          <cell r="A145">
            <v>1360</v>
          </cell>
          <cell r="H145">
            <v>5.3</v>
          </cell>
        </row>
        <row r="146">
          <cell r="A146">
            <v>1370</v>
          </cell>
          <cell r="H146">
            <v>5.3</v>
          </cell>
        </row>
        <row r="147">
          <cell r="A147">
            <v>1380</v>
          </cell>
          <cell r="H147">
            <v>5.3</v>
          </cell>
        </row>
        <row r="148">
          <cell r="A148">
            <v>1390</v>
          </cell>
          <cell r="H148">
            <v>5.3</v>
          </cell>
        </row>
        <row r="149">
          <cell r="A149">
            <v>1400</v>
          </cell>
          <cell r="H149">
            <v>5.3</v>
          </cell>
        </row>
        <row r="150">
          <cell r="A150">
            <v>1410</v>
          </cell>
          <cell r="H150">
            <v>5.3</v>
          </cell>
        </row>
        <row r="151">
          <cell r="A151">
            <v>1420</v>
          </cell>
          <cell r="H151">
            <v>5.3</v>
          </cell>
        </row>
        <row r="152">
          <cell r="A152">
            <v>1430</v>
          </cell>
          <cell r="H152">
            <v>5.3</v>
          </cell>
        </row>
        <row r="153">
          <cell r="A153">
            <v>1440</v>
          </cell>
          <cell r="H153">
            <v>5.3</v>
          </cell>
        </row>
        <row r="154">
          <cell r="A154">
            <v>1450</v>
          </cell>
          <cell r="B154">
            <v>5.6</v>
          </cell>
          <cell r="H154">
            <v>5.3</v>
          </cell>
        </row>
        <row r="155">
          <cell r="A155">
            <v>1460</v>
          </cell>
          <cell r="H155">
            <v>5.3</v>
          </cell>
        </row>
        <row r="156">
          <cell r="A156">
            <v>1470</v>
          </cell>
          <cell r="H156">
            <v>5.3</v>
          </cell>
        </row>
        <row r="157">
          <cell r="A157">
            <v>1480</v>
          </cell>
          <cell r="H157">
            <v>5.3</v>
          </cell>
        </row>
        <row r="158">
          <cell r="A158">
            <v>1490</v>
          </cell>
          <cell r="H158">
            <v>5.3</v>
          </cell>
        </row>
        <row r="159">
          <cell r="A159">
            <v>1500</v>
          </cell>
          <cell r="H159">
            <v>5.3</v>
          </cell>
        </row>
        <row r="160">
          <cell r="A160">
            <v>1510</v>
          </cell>
          <cell r="H160">
            <v>5.3</v>
          </cell>
        </row>
        <row r="161">
          <cell r="A161">
            <v>1520</v>
          </cell>
          <cell r="H161">
            <v>5.3</v>
          </cell>
        </row>
        <row r="162">
          <cell r="A162">
            <v>1530</v>
          </cell>
          <cell r="H162">
            <v>5.3</v>
          </cell>
        </row>
        <row r="163">
          <cell r="A163">
            <v>1540</v>
          </cell>
          <cell r="H163">
            <v>5.3</v>
          </cell>
        </row>
        <row r="164">
          <cell r="A164">
            <v>1550</v>
          </cell>
          <cell r="H164">
            <v>5.3</v>
          </cell>
        </row>
        <row r="165">
          <cell r="A165">
            <v>1560</v>
          </cell>
          <cell r="H165">
            <v>5.3</v>
          </cell>
        </row>
        <row r="166">
          <cell r="A166">
            <v>1570</v>
          </cell>
          <cell r="H166">
            <v>5.3</v>
          </cell>
        </row>
        <row r="167">
          <cell r="A167">
            <v>1580</v>
          </cell>
          <cell r="H167">
            <v>5.3</v>
          </cell>
        </row>
        <row r="168">
          <cell r="A168">
            <v>1590</v>
          </cell>
          <cell r="H168">
            <v>5.3</v>
          </cell>
        </row>
        <row r="169">
          <cell r="A169">
            <v>1600</v>
          </cell>
          <cell r="C169">
            <v>5.5</v>
          </cell>
          <cell r="H169">
            <v>5.3</v>
          </cell>
        </row>
        <row r="170">
          <cell r="A170">
            <v>1610</v>
          </cell>
          <cell r="H170">
            <v>5.3</v>
          </cell>
        </row>
        <row r="171">
          <cell r="A171">
            <v>1620</v>
          </cell>
          <cell r="H171">
            <v>5.3</v>
          </cell>
        </row>
        <row r="172">
          <cell r="A172">
            <v>1630</v>
          </cell>
          <cell r="H172">
            <v>5.3</v>
          </cell>
        </row>
        <row r="173">
          <cell r="A173">
            <v>1640</v>
          </cell>
          <cell r="H173">
            <v>5.3</v>
          </cell>
        </row>
        <row r="174">
          <cell r="A174">
            <v>1650</v>
          </cell>
          <cell r="H174">
            <v>5.3</v>
          </cell>
        </row>
        <row r="175">
          <cell r="A175">
            <v>1660</v>
          </cell>
          <cell r="H175">
            <v>5.3</v>
          </cell>
        </row>
        <row r="176">
          <cell r="A176">
            <v>1670</v>
          </cell>
          <cell r="H176">
            <v>5.3</v>
          </cell>
        </row>
        <row r="177">
          <cell r="A177">
            <v>1680</v>
          </cell>
          <cell r="H177">
            <v>5.3</v>
          </cell>
        </row>
        <row r="178">
          <cell r="A178">
            <v>1690</v>
          </cell>
          <cell r="H178">
            <v>5.3</v>
          </cell>
        </row>
        <row r="179">
          <cell r="A179">
            <v>1700</v>
          </cell>
          <cell r="H179">
            <v>5.3</v>
          </cell>
        </row>
        <row r="180">
          <cell r="A180">
            <v>1710</v>
          </cell>
          <cell r="H180">
            <v>5.3</v>
          </cell>
        </row>
        <row r="181">
          <cell r="A181">
            <v>1720</v>
          </cell>
          <cell r="H181">
            <v>5.3</v>
          </cell>
        </row>
        <row r="182">
          <cell r="A182">
            <v>1730</v>
          </cell>
          <cell r="H182">
            <v>5.3</v>
          </cell>
        </row>
        <row r="183">
          <cell r="A183">
            <v>1740</v>
          </cell>
          <cell r="H183">
            <v>5.3</v>
          </cell>
        </row>
        <row r="184">
          <cell r="A184">
            <v>1750</v>
          </cell>
          <cell r="H184">
            <v>5.3</v>
          </cell>
        </row>
        <row r="185">
          <cell r="A185">
            <v>1760</v>
          </cell>
          <cell r="H185">
            <v>5.3</v>
          </cell>
        </row>
        <row r="186">
          <cell r="A186">
            <v>1770</v>
          </cell>
          <cell r="H186">
            <v>5.3</v>
          </cell>
        </row>
        <row r="187">
          <cell r="A187">
            <v>1780</v>
          </cell>
          <cell r="H187">
            <v>5.3</v>
          </cell>
        </row>
        <row r="188">
          <cell r="A188">
            <v>1790</v>
          </cell>
          <cell r="H188">
            <v>5.3</v>
          </cell>
        </row>
        <row r="189">
          <cell r="A189">
            <v>1800</v>
          </cell>
          <cell r="H189">
            <v>5.3</v>
          </cell>
        </row>
        <row r="190">
          <cell r="A190">
            <v>1810</v>
          </cell>
          <cell r="H190">
            <v>5.3</v>
          </cell>
        </row>
        <row r="191">
          <cell r="A191">
            <v>1820</v>
          </cell>
          <cell r="H191">
            <v>5.3</v>
          </cell>
        </row>
        <row r="192">
          <cell r="A192">
            <v>1830</v>
          </cell>
          <cell r="H192">
            <v>5.3</v>
          </cell>
        </row>
        <row r="193">
          <cell r="A193">
            <v>1840</v>
          </cell>
          <cell r="H193">
            <v>5.3</v>
          </cell>
        </row>
        <row r="194">
          <cell r="A194">
            <v>1850</v>
          </cell>
          <cell r="B194">
            <v>5</v>
          </cell>
          <cell r="H194">
            <v>5.3</v>
          </cell>
        </row>
        <row r="195">
          <cell r="A195">
            <v>1860</v>
          </cell>
          <cell r="H195">
            <v>5.3</v>
          </cell>
        </row>
        <row r="196">
          <cell r="A196">
            <v>1870</v>
          </cell>
          <cell r="H196">
            <v>5.3</v>
          </cell>
        </row>
        <row r="197">
          <cell r="A197">
            <v>1880</v>
          </cell>
          <cell r="H197">
            <v>5.3</v>
          </cell>
        </row>
        <row r="198">
          <cell r="A198">
            <v>1890</v>
          </cell>
          <cell r="H198">
            <v>5.3</v>
          </cell>
        </row>
        <row r="199">
          <cell r="A199">
            <v>1900</v>
          </cell>
          <cell r="H199">
            <v>5.3</v>
          </cell>
        </row>
        <row r="200">
          <cell r="A200">
            <v>1910</v>
          </cell>
          <cell r="H200">
            <v>5.3</v>
          </cell>
        </row>
        <row r="201">
          <cell r="A201">
            <v>1920</v>
          </cell>
          <cell r="H201">
            <v>5.3</v>
          </cell>
        </row>
        <row r="202">
          <cell r="A202">
            <v>1930</v>
          </cell>
          <cell r="H202">
            <v>5.3</v>
          </cell>
        </row>
        <row r="203">
          <cell r="A203">
            <v>1940</v>
          </cell>
          <cell r="H203">
            <v>5.3</v>
          </cell>
        </row>
        <row r="204">
          <cell r="A204">
            <v>1950</v>
          </cell>
          <cell r="H204">
            <v>5.3</v>
          </cell>
        </row>
        <row r="205">
          <cell r="A205">
            <v>1960</v>
          </cell>
          <cell r="H205">
            <v>5.3</v>
          </cell>
        </row>
        <row r="206">
          <cell r="A206">
            <v>1970</v>
          </cell>
          <cell r="H206">
            <v>5.3</v>
          </cell>
        </row>
        <row r="207">
          <cell r="A207">
            <v>1980</v>
          </cell>
          <cell r="H207">
            <v>5.3</v>
          </cell>
        </row>
        <row r="208">
          <cell r="A208">
            <v>1990</v>
          </cell>
          <cell r="H208">
            <v>5.3</v>
          </cell>
        </row>
        <row r="209">
          <cell r="A209">
            <v>2000</v>
          </cell>
          <cell r="H209">
            <v>5.3</v>
          </cell>
        </row>
        <row r="210">
          <cell r="A210">
            <v>2010</v>
          </cell>
          <cell r="H210">
            <v>5.3</v>
          </cell>
        </row>
        <row r="211">
          <cell r="A211">
            <v>2020</v>
          </cell>
          <cell r="B211">
            <v>5</v>
          </cell>
          <cell r="H211">
            <v>5.3</v>
          </cell>
        </row>
        <row r="212">
          <cell r="A212">
            <v>2030</v>
          </cell>
          <cell r="H212">
            <v>5.3</v>
          </cell>
        </row>
        <row r="213">
          <cell r="A213">
            <v>2040</v>
          </cell>
          <cell r="H213">
            <v>5.3</v>
          </cell>
        </row>
        <row r="214">
          <cell r="A214">
            <v>2050</v>
          </cell>
          <cell r="H214">
            <v>5.3</v>
          </cell>
        </row>
        <row r="215">
          <cell r="A215">
            <v>2060</v>
          </cell>
          <cell r="H215">
            <v>5.3</v>
          </cell>
        </row>
        <row r="216">
          <cell r="A216">
            <v>2070</v>
          </cell>
          <cell r="H216">
            <v>5.3</v>
          </cell>
        </row>
        <row r="217">
          <cell r="A217">
            <v>2080</v>
          </cell>
          <cell r="H217">
            <v>5.3</v>
          </cell>
        </row>
        <row r="218">
          <cell r="A218">
            <v>2090</v>
          </cell>
          <cell r="H218">
            <v>5.3</v>
          </cell>
        </row>
        <row r="219">
          <cell r="A219">
            <v>2100</v>
          </cell>
          <cell r="H219">
            <v>5.3</v>
          </cell>
        </row>
        <row r="220">
          <cell r="A220">
            <v>2110</v>
          </cell>
          <cell r="H220">
            <v>5.3</v>
          </cell>
        </row>
        <row r="221">
          <cell r="A221">
            <v>2120</v>
          </cell>
          <cell r="H221">
            <v>5.3</v>
          </cell>
        </row>
        <row r="222">
          <cell r="A222">
            <v>2130</v>
          </cell>
          <cell r="H222">
            <v>5.3</v>
          </cell>
        </row>
        <row r="223">
          <cell r="A223">
            <v>2140</v>
          </cell>
          <cell r="H223">
            <v>5.3</v>
          </cell>
        </row>
        <row r="224">
          <cell r="A224">
            <v>2150</v>
          </cell>
          <cell r="H224">
            <v>5.3</v>
          </cell>
        </row>
        <row r="225">
          <cell r="A225">
            <v>2160</v>
          </cell>
          <cell r="H225">
            <v>5.3</v>
          </cell>
        </row>
        <row r="226">
          <cell r="A226">
            <v>2170</v>
          </cell>
          <cell r="H226">
            <v>5.3</v>
          </cell>
        </row>
        <row r="227">
          <cell r="A227">
            <v>2180</v>
          </cell>
          <cell r="H227">
            <v>5.3</v>
          </cell>
        </row>
        <row r="228">
          <cell r="A228">
            <v>2190</v>
          </cell>
          <cell r="H228">
            <v>5.3</v>
          </cell>
        </row>
        <row r="229">
          <cell r="A229">
            <v>2200</v>
          </cell>
          <cell r="H229">
            <v>5.3</v>
          </cell>
        </row>
        <row r="230">
          <cell r="A230">
            <v>2210</v>
          </cell>
          <cell r="H230">
            <v>5.3</v>
          </cell>
        </row>
        <row r="231">
          <cell r="A231">
            <v>2220</v>
          </cell>
          <cell r="H231">
            <v>5.3</v>
          </cell>
        </row>
        <row r="232">
          <cell r="A232">
            <v>2230</v>
          </cell>
          <cell r="H232">
            <v>5.3</v>
          </cell>
        </row>
        <row r="233">
          <cell r="A233">
            <v>2240</v>
          </cell>
          <cell r="H233">
            <v>5.3</v>
          </cell>
        </row>
        <row r="234">
          <cell r="A234">
            <v>2250</v>
          </cell>
          <cell r="H234">
            <v>5.3</v>
          </cell>
        </row>
        <row r="235">
          <cell r="A235">
            <v>2260</v>
          </cell>
          <cell r="H235">
            <v>5.3</v>
          </cell>
        </row>
        <row r="236">
          <cell r="A236">
            <v>2270</v>
          </cell>
          <cell r="H236">
            <v>5.3</v>
          </cell>
        </row>
        <row r="237">
          <cell r="A237">
            <v>2280</v>
          </cell>
          <cell r="H237">
            <v>5.3</v>
          </cell>
        </row>
        <row r="238">
          <cell r="A238">
            <v>2290</v>
          </cell>
          <cell r="H238">
            <v>5.3</v>
          </cell>
        </row>
        <row r="239">
          <cell r="A239">
            <v>2300</v>
          </cell>
          <cell r="H239">
            <v>5.3</v>
          </cell>
        </row>
        <row r="240">
          <cell r="A240">
            <v>2310</v>
          </cell>
          <cell r="H240">
            <v>5.3</v>
          </cell>
        </row>
        <row r="241">
          <cell r="A241">
            <v>2320</v>
          </cell>
          <cell r="H241">
            <v>5.3</v>
          </cell>
        </row>
        <row r="242">
          <cell r="A242">
            <v>2330</v>
          </cell>
          <cell r="H242">
            <v>5.3</v>
          </cell>
        </row>
        <row r="243">
          <cell r="A243">
            <v>2340</v>
          </cell>
          <cell r="H243">
            <v>5.3</v>
          </cell>
        </row>
        <row r="244">
          <cell r="A244">
            <v>2350</v>
          </cell>
          <cell r="H244">
            <v>5.3</v>
          </cell>
        </row>
        <row r="245">
          <cell r="A245">
            <v>2360</v>
          </cell>
          <cell r="H245">
            <v>5.3</v>
          </cell>
        </row>
        <row r="246">
          <cell r="A246">
            <v>2370</v>
          </cell>
          <cell r="H246">
            <v>5.3</v>
          </cell>
        </row>
        <row r="247">
          <cell r="A247">
            <v>2380</v>
          </cell>
          <cell r="H247">
            <v>5.3</v>
          </cell>
        </row>
        <row r="248">
          <cell r="A248">
            <v>2390</v>
          </cell>
          <cell r="H248">
            <v>5.3</v>
          </cell>
        </row>
        <row r="249">
          <cell r="A249">
            <v>2400</v>
          </cell>
          <cell r="H249">
            <v>5.3</v>
          </cell>
        </row>
        <row r="250">
          <cell r="A250">
            <v>2410</v>
          </cell>
          <cell r="H250">
            <v>5.3</v>
          </cell>
        </row>
        <row r="251">
          <cell r="A251">
            <v>2420</v>
          </cell>
          <cell r="C251">
            <v>5</v>
          </cell>
          <cell r="F251">
            <v>5.6</v>
          </cell>
          <cell r="H251">
            <v>5.3</v>
          </cell>
        </row>
        <row r="252">
          <cell r="A252">
            <v>2430</v>
          </cell>
          <cell r="H252">
            <v>5.3</v>
          </cell>
        </row>
        <row r="253">
          <cell r="A253">
            <v>2440</v>
          </cell>
          <cell r="H253">
            <v>5.3</v>
          </cell>
        </row>
        <row r="254">
          <cell r="A254">
            <v>2450</v>
          </cell>
          <cell r="H254">
            <v>5.3</v>
          </cell>
        </row>
        <row r="255">
          <cell r="A255">
            <v>2460</v>
          </cell>
          <cell r="H255">
            <v>5.3</v>
          </cell>
        </row>
        <row r="256">
          <cell r="A256">
            <v>2470</v>
          </cell>
          <cell r="H256">
            <v>5.3</v>
          </cell>
        </row>
        <row r="257">
          <cell r="A257">
            <v>2480</v>
          </cell>
          <cell r="H257">
            <v>5.3</v>
          </cell>
        </row>
        <row r="258">
          <cell r="A258">
            <v>2490</v>
          </cell>
          <cell r="H258">
            <v>5.3</v>
          </cell>
        </row>
        <row r="259">
          <cell r="A259">
            <v>2500</v>
          </cell>
          <cell r="H259">
            <v>5.3</v>
          </cell>
        </row>
        <row r="260">
          <cell r="A260">
            <v>2510</v>
          </cell>
          <cell r="H260">
            <v>5.3</v>
          </cell>
        </row>
        <row r="261">
          <cell r="A261">
            <v>2520</v>
          </cell>
          <cell r="H261">
            <v>5.3</v>
          </cell>
        </row>
        <row r="262">
          <cell r="A262">
            <v>2530</v>
          </cell>
          <cell r="H262">
            <v>5.3</v>
          </cell>
        </row>
        <row r="263">
          <cell r="A263">
            <v>2540</v>
          </cell>
          <cell r="H263">
            <v>5.3</v>
          </cell>
        </row>
        <row r="264">
          <cell r="A264">
            <v>2550</v>
          </cell>
          <cell r="H264">
            <v>5.3</v>
          </cell>
        </row>
        <row r="265">
          <cell r="A265">
            <v>2560</v>
          </cell>
          <cell r="H265">
            <v>5.3</v>
          </cell>
        </row>
        <row r="266">
          <cell r="A266">
            <v>2570</v>
          </cell>
          <cell r="H266">
            <v>5.3</v>
          </cell>
        </row>
        <row r="267">
          <cell r="A267">
            <v>2580</v>
          </cell>
          <cell r="H267">
            <v>5.3</v>
          </cell>
        </row>
        <row r="268">
          <cell r="A268">
            <v>2590</v>
          </cell>
          <cell r="H268">
            <v>5.3</v>
          </cell>
        </row>
        <row r="269">
          <cell r="A269">
            <v>2600</v>
          </cell>
          <cell r="H269">
            <v>5.3</v>
          </cell>
        </row>
        <row r="270">
          <cell r="A270">
            <v>2610</v>
          </cell>
          <cell r="H270">
            <v>5.3</v>
          </cell>
        </row>
        <row r="271">
          <cell r="A271">
            <v>2620</v>
          </cell>
          <cell r="H271">
            <v>5.3</v>
          </cell>
        </row>
        <row r="272">
          <cell r="A272">
            <v>2630</v>
          </cell>
          <cell r="H272">
            <v>5.3</v>
          </cell>
        </row>
        <row r="273">
          <cell r="A273">
            <v>2640</v>
          </cell>
          <cell r="H273">
            <v>5.3</v>
          </cell>
        </row>
        <row r="274">
          <cell r="A274">
            <v>2650</v>
          </cell>
          <cell r="H274">
            <v>5.3</v>
          </cell>
        </row>
        <row r="275">
          <cell r="A275">
            <v>2660</v>
          </cell>
          <cell r="H275">
            <v>5.3</v>
          </cell>
        </row>
        <row r="276">
          <cell r="A276">
            <v>2670</v>
          </cell>
          <cell r="H276">
            <v>5.3</v>
          </cell>
        </row>
        <row r="277">
          <cell r="A277">
            <v>2680</v>
          </cell>
          <cell r="H277">
            <v>5.3</v>
          </cell>
        </row>
        <row r="278">
          <cell r="A278">
            <v>2690</v>
          </cell>
          <cell r="H278">
            <v>5.3</v>
          </cell>
        </row>
        <row r="279">
          <cell r="A279">
            <v>2700</v>
          </cell>
          <cell r="H279">
            <v>5.3</v>
          </cell>
        </row>
        <row r="280">
          <cell r="A280">
            <v>2710</v>
          </cell>
          <cell r="H280">
            <v>5.3</v>
          </cell>
        </row>
        <row r="281">
          <cell r="A281">
            <v>2720</v>
          </cell>
          <cell r="H281">
            <v>5.3</v>
          </cell>
        </row>
        <row r="282">
          <cell r="A282">
            <v>2730</v>
          </cell>
          <cell r="H282">
            <v>5.3</v>
          </cell>
        </row>
        <row r="283">
          <cell r="A283">
            <v>2740</v>
          </cell>
          <cell r="H283">
            <v>5.3</v>
          </cell>
        </row>
        <row r="284">
          <cell r="A284">
            <v>2750</v>
          </cell>
          <cell r="H284">
            <v>5.3</v>
          </cell>
        </row>
        <row r="285">
          <cell r="A285">
            <v>2760</v>
          </cell>
          <cell r="H285">
            <v>5.3</v>
          </cell>
        </row>
        <row r="286">
          <cell r="A286">
            <v>2770</v>
          </cell>
          <cell r="H286">
            <v>5.3</v>
          </cell>
        </row>
        <row r="287">
          <cell r="A287">
            <v>2780</v>
          </cell>
          <cell r="H287">
            <v>5.3</v>
          </cell>
        </row>
        <row r="288">
          <cell r="A288">
            <v>2790</v>
          </cell>
          <cell r="H288">
            <v>5.3</v>
          </cell>
        </row>
        <row r="289">
          <cell r="A289">
            <v>2800</v>
          </cell>
          <cell r="H289">
            <v>5.3</v>
          </cell>
        </row>
        <row r="290">
          <cell r="A290">
            <v>2810</v>
          </cell>
          <cell r="H290">
            <v>5.3</v>
          </cell>
        </row>
        <row r="291">
          <cell r="A291">
            <v>2820</v>
          </cell>
          <cell r="D291">
            <v>5</v>
          </cell>
          <cell r="G291">
            <v>5</v>
          </cell>
          <cell r="H291">
            <v>5.3</v>
          </cell>
        </row>
        <row r="292">
          <cell r="A292">
            <v>2830</v>
          </cell>
          <cell r="H292">
            <v>5.3</v>
          </cell>
        </row>
        <row r="293">
          <cell r="A293">
            <v>2840</v>
          </cell>
          <cell r="H293">
            <v>5.3</v>
          </cell>
        </row>
        <row r="294">
          <cell r="A294">
            <v>2850</v>
          </cell>
          <cell r="H294">
            <v>5.3</v>
          </cell>
        </row>
        <row r="295">
          <cell r="A295">
            <v>2860</v>
          </cell>
          <cell r="H295">
            <v>5.3</v>
          </cell>
        </row>
        <row r="296">
          <cell r="A296">
            <v>2870</v>
          </cell>
          <cell r="H296">
            <v>5.3</v>
          </cell>
        </row>
        <row r="297">
          <cell r="A297">
            <v>2880</v>
          </cell>
          <cell r="H297">
            <v>5.3</v>
          </cell>
        </row>
        <row r="298">
          <cell r="A298">
            <v>2890</v>
          </cell>
          <cell r="H298">
            <v>5.3</v>
          </cell>
        </row>
        <row r="299">
          <cell r="A299">
            <v>2900</v>
          </cell>
          <cell r="H299">
            <v>5.3</v>
          </cell>
        </row>
        <row r="300">
          <cell r="A300">
            <v>2910</v>
          </cell>
          <cell r="H300">
            <v>5.3</v>
          </cell>
        </row>
        <row r="301">
          <cell r="A301">
            <v>2920</v>
          </cell>
          <cell r="H301">
            <v>5.3</v>
          </cell>
        </row>
        <row r="302">
          <cell r="A302">
            <v>2930</v>
          </cell>
          <cell r="H302">
            <v>5.3</v>
          </cell>
        </row>
        <row r="303">
          <cell r="A303">
            <v>2940</v>
          </cell>
          <cell r="H303">
            <v>5.3</v>
          </cell>
        </row>
        <row r="304">
          <cell r="A304">
            <v>2950</v>
          </cell>
          <cell r="H304">
            <v>5.3</v>
          </cell>
        </row>
        <row r="305">
          <cell r="A305">
            <v>2960</v>
          </cell>
          <cell r="H305">
            <v>5.3</v>
          </cell>
        </row>
        <row r="306">
          <cell r="A306">
            <v>2970</v>
          </cell>
          <cell r="H306">
            <v>5.3</v>
          </cell>
        </row>
        <row r="307">
          <cell r="A307">
            <v>2980</v>
          </cell>
          <cell r="H307">
            <v>5.3</v>
          </cell>
        </row>
        <row r="308">
          <cell r="A308">
            <v>2990</v>
          </cell>
          <cell r="H308">
            <v>5.3</v>
          </cell>
        </row>
        <row r="309">
          <cell r="A309">
            <v>3000</v>
          </cell>
          <cell r="H309">
            <v>5.3</v>
          </cell>
        </row>
        <row r="310">
          <cell r="A310">
            <v>3010</v>
          </cell>
          <cell r="H310">
            <v>5.3</v>
          </cell>
        </row>
        <row r="311">
          <cell r="A311">
            <v>3020</v>
          </cell>
          <cell r="H311">
            <v>5.3</v>
          </cell>
        </row>
        <row r="312">
          <cell r="A312">
            <v>3030</v>
          </cell>
          <cell r="H312">
            <v>5.3</v>
          </cell>
        </row>
        <row r="313">
          <cell r="A313">
            <v>3040</v>
          </cell>
          <cell r="H313">
            <v>5.3</v>
          </cell>
        </row>
        <row r="314">
          <cell r="A314">
            <v>3050</v>
          </cell>
          <cell r="H314">
            <v>5.3</v>
          </cell>
        </row>
        <row r="315">
          <cell r="A315">
            <v>3060</v>
          </cell>
          <cell r="H315">
            <v>5.3</v>
          </cell>
        </row>
        <row r="316">
          <cell r="A316">
            <v>3070</v>
          </cell>
          <cell r="H316">
            <v>5.3</v>
          </cell>
        </row>
        <row r="317">
          <cell r="A317">
            <v>3080</v>
          </cell>
          <cell r="H317">
            <v>5.3</v>
          </cell>
        </row>
        <row r="318">
          <cell r="A318">
            <v>3090</v>
          </cell>
          <cell r="H318">
            <v>5.3</v>
          </cell>
        </row>
        <row r="319">
          <cell r="A319">
            <v>3100</v>
          </cell>
          <cell r="H319">
            <v>5.3</v>
          </cell>
        </row>
        <row r="320">
          <cell r="A320">
            <v>3110</v>
          </cell>
          <cell r="H320">
            <v>5.3</v>
          </cell>
        </row>
        <row r="321">
          <cell r="A321">
            <v>3120</v>
          </cell>
          <cell r="H321">
            <v>5.3</v>
          </cell>
        </row>
        <row r="322">
          <cell r="A322">
            <v>3130</v>
          </cell>
          <cell r="H322">
            <v>5.3</v>
          </cell>
        </row>
        <row r="323">
          <cell r="A323">
            <v>3140</v>
          </cell>
          <cell r="H323">
            <v>5.3</v>
          </cell>
        </row>
        <row r="324">
          <cell r="A324">
            <v>3150</v>
          </cell>
          <cell r="H324">
            <v>5.3</v>
          </cell>
        </row>
        <row r="325">
          <cell r="A325">
            <v>3160</v>
          </cell>
          <cell r="H325">
            <v>5.3</v>
          </cell>
        </row>
        <row r="326">
          <cell r="A326">
            <v>3170</v>
          </cell>
          <cell r="H326">
            <v>5.3</v>
          </cell>
        </row>
        <row r="327">
          <cell r="A327">
            <v>3180</v>
          </cell>
          <cell r="H327">
            <v>5.3</v>
          </cell>
        </row>
        <row r="328">
          <cell r="A328">
            <v>3190</v>
          </cell>
          <cell r="H328">
            <v>5.3</v>
          </cell>
        </row>
        <row r="329">
          <cell r="A329">
            <v>3200</v>
          </cell>
          <cell r="H329">
            <v>5.3</v>
          </cell>
        </row>
        <row r="330">
          <cell r="A330">
            <v>3210</v>
          </cell>
          <cell r="H330">
            <v>5.3</v>
          </cell>
        </row>
        <row r="331">
          <cell r="A331">
            <v>3220</v>
          </cell>
          <cell r="H331">
            <v>5.3</v>
          </cell>
        </row>
        <row r="332">
          <cell r="A332">
            <v>3230</v>
          </cell>
          <cell r="C332">
            <v>4.9000000000000004</v>
          </cell>
          <cell r="F332">
            <v>5.8</v>
          </cell>
          <cell r="H332">
            <v>5.3</v>
          </cell>
        </row>
        <row r="333">
          <cell r="A333">
            <v>3240</v>
          </cell>
          <cell r="H333">
            <v>5.3</v>
          </cell>
        </row>
        <row r="334">
          <cell r="A334">
            <v>3250</v>
          </cell>
          <cell r="H334">
            <v>5.3</v>
          </cell>
        </row>
        <row r="335">
          <cell r="A335">
            <v>3260</v>
          </cell>
          <cell r="H335">
            <v>5.3</v>
          </cell>
        </row>
        <row r="336">
          <cell r="A336">
            <v>3270</v>
          </cell>
          <cell r="H336">
            <v>5.3</v>
          </cell>
        </row>
        <row r="337">
          <cell r="A337">
            <v>3280</v>
          </cell>
          <cell r="H337">
            <v>5.3</v>
          </cell>
        </row>
        <row r="338">
          <cell r="A338">
            <v>3290</v>
          </cell>
          <cell r="H338">
            <v>5.3</v>
          </cell>
        </row>
        <row r="339">
          <cell r="A339">
            <v>3300</v>
          </cell>
          <cell r="H339">
            <v>5.3</v>
          </cell>
        </row>
        <row r="340">
          <cell r="A340">
            <v>3310</v>
          </cell>
          <cell r="H340">
            <v>5.3</v>
          </cell>
        </row>
        <row r="341">
          <cell r="A341">
            <v>3320</v>
          </cell>
          <cell r="H341">
            <v>5.3</v>
          </cell>
        </row>
        <row r="342">
          <cell r="A342">
            <v>3330</v>
          </cell>
          <cell r="H342">
            <v>5.3</v>
          </cell>
        </row>
        <row r="343">
          <cell r="A343">
            <v>3340</v>
          </cell>
          <cell r="H343">
            <v>5.3</v>
          </cell>
        </row>
        <row r="344">
          <cell r="A344">
            <v>3350</v>
          </cell>
          <cell r="H344">
            <v>5.3</v>
          </cell>
        </row>
        <row r="345">
          <cell r="A345">
            <v>3360</v>
          </cell>
          <cell r="H345">
            <v>5.3</v>
          </cell>
        </row>
        <row r="346">
          <cell r="A346">
            <v>3370</v>
          </cell>
          <cell r="H346">
            <v>5.3</v>
          </cell>
        </row>
        <row r="347">
          <cell r="A347">
            <v>3380</v>
          </cell>
          <cell r="H347">
            <v>5.3</v>
          </cell>
        </row>
        <row r="348">
          <cell r="A348">
            <v>3390</v>
          </cell>
          <cell r="H348">
            <v>5.3</v>
          </cell>
        </row>
        <row r="349">
          <cell r="A349">
            <v>3400</v>
          </cell>
          <cell r="H349">
            <v>5.3</v>
          </cell>
        </row>
        <row r="350">
          <cell r="A350">
            <v>3410</v>
          </cell>
          <cell r="H350">
            <v>5.3</v>
          </cell>
        </row>
        <row r="351">
          <cell r="A351">
            <v>3420</v>
          </cell>
          <cell r="H351">
            <v>5.3</v>
          </cell>
        </row>
        <row r="352">
          <cell r="A352">
            <v>3430</v>
          </cell>
          <cell r="H352">
            <v>5.3</v>
          </cell>
        </row>
        <row r="353">
          <cell r="A353">
            <v>3440</v>
          </cell>
          <cell r="H353">
            <v>5.3</v>
          </cell>
        </row>
        <row r="354">
          <cell r="A354">
            <v>3450</v>
          </cell>
          <cell r="H354">
            <v>5.3</v>
          </cell>
        </row>
        <row r="355">
          <cell r="A355">
            <v>3460</v>
          </cell>
          <cell r="H355">
            <v>5.3</v>
          </cell>
        </row>
        <row r="356">
          <cell r="A356">
            <v>3470</v>
          </cell>
          <cell r="H356">
            <v>5.3</v>
          </cell>
        </row>
        <row r="357">
          <cell r="A357">
            <v>3480</v>
          </cell>
          <cell r="H357">
            <v>5.3</v>
          </cell>
        </row>
        <row r="358">
          <cell r="A358">
            <v>3490</v>
          </cell>
          <cell r="H358">
            <v>5.3</v>
          </cell>
        </row>
        <row r="359">
          <cell r="A359">
            <v>3500</v>
          </cell>
          <cell r="H359">
            <v>5.3</v>
          </cell>
        </row>
        <row r="360">
          <cell r="A360">
            <v>3510</v>
          </cell>
          <cell r="H360">
            <v>5.3</v>
          </cell>
        </row>
        <row r="361">
          <cell r="A361">
            <v>3520</v>
          </cell>
          <cell r="H361">
            <v>5.3</v>
          </cell>
        </row>
        <row r="362">
          <cell r="A362">
            <v>3530</v>
          </cell>
          <cell r="H362">
            <v>5.3</v>
          </cell>
        </row>
        <row r="363">
          <cell r="A363">
            <v>3540</v>
          </cell>
          <cell r="H363">
            <v>5.3</v>
          </cell>
        </row>
        <row r="364">
          <cell r="A364">
            <v>3550</v>
          </cell>
          <cell r="H364">
            <v>5.3</v>
          </cell>
        </row>
        <row r="365">
          <cell r="A365">
            <v>3560</v>
          </cell>
          <cell r="H365">
            <v>5.3</v>
          </cell>
        </row>
        <row r="366">
          <cell r="A366">
            <v>3570</v>
          </cell>
          <cell r="H366">
            <v>5.3</v>
          </cell>
        </row>
        <row r="367">
          <cell r="A367">
            <v>3580</v>
          </cell>
          <cell r="F367">
            <v>5.7</v>
          </cell>
          <cell r="H367">
            <v>5.3</v>
          </cell>
        </row>
        <row r="368">
          <cell r="A368">
            <v>3590</v>
          </cell>
          <cell r="H368">
            <v>5.3</v>
          </cell>
        </row>
        <row r="369">
          <cell r="A369">
            <v>3600</v>
          </cell>
          <cell r="H369">
            <v>5.3</v>
          </cell>
        </row>
        <row r="370">
          <cell r="A370">
            <v>3610</v>
          </cell>
          <cell r="H370">
            <v>5.3</v>
          </cell>
        </row>
        <row r="371">
          <cell r="A371">
            <v>3620</v>
          </cell>
          <cell r="H371">
            <v>5.3</v>
          </cell>
        </row>
        <row r="372">
          <cell r="A372">
            <v>3630</v>
          </cell>
          <cell r="B372">
            <v>4.9000000000000004</v>
          </cell>
          <cell r="H372">
            <v>5.3</v>
          </cell>
        </row>
        <row r="373">
          <cell r="A373">
            <v>3640</v>
          </cell>
          <cell r="H373">
            <v>5.3</v>
          </cell>
        </row>
        <row r="374">
          <cell r="A374">
            <v>3650</v>
          </cell>
          <cell r="H374">
            <v>5.3</v>
          </cell>
        </row>
        <row r="375">
          <cell r="A375">
            <v>3660</v>
          </cell>
          <cell r="H375">
            <v>5.3</v>
          </cell>
        </row>
        <row r="376">
          <cell r="A376">
            <v>3670</v>
          </cell>
          <cell r="H376">
            <v>5.3</v>
          </cell>
        </row>
        <row r="377">
          <cell r="A377">
            <v>3680</v>
          </cell>
          <cell r="H377">
            <v>5.3</v>
          </cell>
        </row>
        <row r="378">
          <cell r="A378">
            <v>3690</v>
          </cell>
          <cell r="H378">
            <v>5.3</v>
          </cell>
        </row>
        <row r="379">
          <cell r="A379">
            <v>3700</v>
          </cell>
          <cell r="C379">
            <v>5.5</v>
          </cell>
          <cell r="F379">
            <v>6.3</v>
          </cell>
          <cell r="H379">
            <v>5.3</v>
          </cell>
        </row>
        <row r="380">
          <cell r="A380">
            <v>3710</v>
          </cell>
          <cell r="H380">
            <v>5.3</v>
          </cell>
        </row>
        <row r="381">
          <cell r="A381">
            <v>3720</v>
          </cell>
          <cell r="H381">
            <v>5.3</v>
          </cell>
        </row>
        <row r="382">
          <cell r="A382">
            <v>3730</v>
          </cell>
          <cell r="H382">
            <v>5.3</v>
          </cell>
        </row>
        <row r="383">
          <cell r="A383">
            <v>3740</v>
          </cell>
          <cell r="H383">
            <v>5.3</v>
          </cell>
        </row>
        <row r="384">
          <cell r="A384">
            <v>3750</v>
          </cell>
          <cell r="H384">
            <v>5.3</v>
          </cell>
        </row>
        <row r="385">
          <cell r="A385">
            <v>3760</v>
          </cell>
          <cell r="H385">
            <v>5.3</v>
          </cell>
        </row>
        <row r="386">
          <cell r="A386">
            <v>3770</v>
          </cell>
          <cell r="H386">
            <v>5.3</v>
          </cell>
        </row>
        <row r="387">
          <cell r="A387">
            <v>3780</v>
          </cell>
          <cell r="H387">
            <v>5.3</v>
          </cell>
        </row>
        <row r="388">
          <cell r="A388">
            <v>3790</v>
          </cell>
          <cell r="H388">
            <v>5.3</v>
          </cell>
        </row>
        <row r="389">
          <cell r="A389">
            <v>3800</v>
          </cell>
          <cell r="H389">
            <v>5.3</v>
          </cell>
        </row>
        <row r="390">
          <cell r="A390">
            <v>3810</v>
          </cell>
          <cell r="H390">
            <v>5.3</v>
          </cell>
        </row>
        <row r="391">
          <cell r="A391">
            <v>3820</v>
          </cell>
          <cell r="H391">
            <v>5.3</v>
          </cell>
        </row>
        <row r="392">
          <cell r="A392">
            <v>3830</v>
          </cell>
          <cell r="H392">
            <v>5.3</v>
          </cell>
        </row>
        <row r="393">
          <cell r="A393">
            <v>3840</v>
          </cell>
          <cell r="H393">
            <v>5.3</v>
          </cell>
        </row>
        <row r="394">
          <cell r="A394">
            <v>3850</v>
          </cell>
          <cell r="H394">
            <v>5.3</v>
          </cell>
        </row>
        <row r="395">
          <cell r="A395">
            <v>3860</v>
          </cell>
          <cell r="H395">
            <v>5.3</v>
          </cell>
        </row>
        <row r="396">
          <cell r="A396">
            <v>3870</v>
          </cell>
          <cell r="H396">
            <v>5.3</v>
          </cell>
        </row>
        <row r="397">
          <cell r="A397">
            <v>3880</v>
          </cell>
          <cell r="H397">
            <v>5.3</v>
          </cell>
        </row>
        <row r="398">
          <cell r="A398">
            <v>3890</v>
          </cell>
          <cell r="H398">
            <v>5.3</v>
          </cell>
        </row>
        <row r="399">
          <cell r="A399">
            <v>3900</v>
          </cell>
          <cell r="H399">
            <v>5.3</v>
          </cell>
        </row>
        <row r="400">
          <cell r="A400">
            <v>3910</v>
          </cell>
          <cell r="H400">
            <v>5.3</v>
          </cell>
        </row>
        <row r="401">
          <cell r="A401">
            <v>3920</v>
          </cell>
          <cell r="H401">
            <v>5.3</v>
          </cell>
        </row>
        <row r="402">
          <cell r="A402">
            <v>3930</v>
          </cell>
          <cell r="H402">
            <v>5.3</v>
          </cell>
        </row>
        <row r="403">
          <cell r="A403">
            <v>3940</v>
          </cell>
          <cell r="H403">
            <v>5.3</v>
          </cell>
        </row>
        <row r="404">
          <cell r="A404">
            <v>3950</v>
          </cell>
          <cell r="H404">
            <v>5.3</v>
          </cell>
        </row>
        <row r="405">
          <cell r="A405">
            <v>3960</v>
          </cell>
          <cell r="H405">
            <v>5.3</v>
          </cell>
        </row>
        <row r="406">
          <cell r="A406">
            <v>3970</v>
          </cell>
          <cell r="H406">
            <v>5.3</v>
          </cell>
        </row>
        <row r="407">
          <cell r="A407">
            <v>3980</v>
          </cell>
          <cell r="H407">
            <v>5.3</v>
          </cell>
        </row>
        <row r="408">
          <cell r="A408">
            <v>3990</v>
          </cell>
          <cell r="H408">
            <v>5.3</v>
          </cell>
        </row>
        <row r="409">
          <cell r="A409">
            <v>4000</v>
          </cell>
          <cell r="C409">
            <v>5.5</v>
          </cell>
          <cell r="F409">
            <v>5.5</v>
          </cell>
          <cell r="H409">
            <v>5.3</v>
          </cell>
        </row>
        <row r="410">
          <cell r="A410">
            <v>4010</v>
          </cell>
          <cell r="H410">
            <v>5.3</v>
          </cell>
        </row>
        <row r="411">
          <cell r="A411">
            <v>4020</v>
          </cell>
          <cell r="H411">
            <v>5.3</v>
          </cell>
        </row>
        <row r="412">
          <cell r="A412">
            <v>4030</v>
          </cell>
          <cell r="H412">
            <v>5.3</v>
          </cell>
        </row>
        <row r="413">
          <cell r="A413">
            <v>4040</v>
          </cell>
          <cell r="H413">
            <v>5.3</v>
          </cell>
        </row>
        <row r="414">
          <cell r="A414">
            <v>4050</v>
          </cell>
          <cell r="H414">
            <v>5.3</v>
          </cell>
        </row>
        <row r="415">
          <cell r="A415">
            <v>4060</v>
          </cell>
          <cell r="H415">
            <v>5.3</v>
          </cell>
        </row>
        <row r="416">
          <cell r="A416">
            <v>4070</v>
          </cell>
          <cell r="H416">
            <v>5.3</v>
          </cell>
        </row>
        <row r="417">
          <cell r="A417">
            <v>4080</v>
          </cell>
          <cell r="H417">
            <v>5.3</v>
          </cell>
        </row>
        <row r="418">
          <cell r="A418">
            <v>4090</v>
          </cell>
          <cell r="H418">
            <v>5.3</v>
          </cell>
        </row>
        <row r="419">
          <cell r="A419">
            <v>4100</v>
          </cell>
          <cell r="H419">
            <v>5.3</v>
          </cell>
        </row>
        <row r="420">
          <cell r="A420">
            <v>4110</v>
          </cell>
          <cell r="H420">
            <v>5.3</v>
          </cell>
        </row>
        <row r="421">
          <cell r="A421">
            <v>4120</v>
          </cell>
          <cell r="H421">
            <v>5.3</v>
          </cell>
        </row>
        <row r="422">
          <cell r="A422">
            <v>4130</v>
          </cell>
          <cell r="H422">
            <v>5.3</v>
          </cell>
        </row>
        <row r="423">
          <cell r="A423">
            <v>4140</v>
          </cell>
          <cell r="H423">
            <v>5.3</v>
          </cell>
        </row>
        <row r="424">
          <cell r="A424">
            <v>4150</v>
          </cell>
          <cell r="H424">
            <v>5.3</v>
          </cell>
        </row>
        <row r="425">
          <cell r="A425">
            <v>4160</v>
          </cell>
          <cell r="H425">
            <v>5.3</v>
          </cell>
        </row>
        <row r="426">
          <cell r="A426">
            <v>4170</v>
          </cell>
          <cell r="H426">
            <v>5.3</v>
          </cell>
        </row>
        <row r="427">
          <cell r="A427">
            <v>4180</v>
          </cell>
          <cell r="H427">
            <v>5.3</v>
          </cell>
        </row>
        <row r="428">
          <cell r="A428">
            <v>4190</v>
          </cell>
          <cell r="H428">
            <v>5.3</v>
          </cell>
        </row>
        <row r="429">
          <cell r="A429">
            <v>4200</v>
          </cell>
          <cell r="H429">
            <v>5.3</v>
          </cell>
        </row>
        <row r="430">
          <cell r="A430">
            <v>4210</v>
          </cell>
          <cell r="H430">
            <v>5.3</v>
          </cell>
        </row>
        <row r="431">
          <cell r="A431">
            <v>4220</v>
          </cell>
          <cell r="H431">
            <v>5.3</v>
          </cell>
        </row>
        <row r="432">
          <cell r="A432">
            <v>4230</v>
          </cell>
          <cell r="H432">
            <v>5.3</v>
          </cell>
        </row>
        <row r="433">
          <cell r="A433">
            <v>4240</v>
          </cell>
          <cell r="H433">
            <v>5.3</v>
          </cell>
        </row>
        <row r="434">
          <cell r="A434">
            <v>4250</v>
          </cell>
          <cell r="H434">
            <v>5.3</v>
          </cell>
        </row>
        <row r="435">
          <cell r="A435">
            <v>4260</v>
          </cell>
          <cell r="H435">
            <v>5.3</v>
          </cell>
        </row>
        <row r="436">
          <cell r="A436">
            <v>4270</v>
          </cell>
          <cell r="H436">
            <v>5.3</v>
          </cell>
        </row>
        <row r="437">
          <cell r="A437">
            <v>4280</v>
          </cell>
          <cell r="H437">
            <v>5.3</v>
          </cell>
        </row>
        <row r="438">
          <cell r="A438">
            <v>4290</v>
          </cell>
          <cell r="H438">
            <v>5.3</v>
          </cell>
        </row>
        <row r="439">
          <cell r="A439">
            <v>4300</v>
          </cell>
          <cell r="C439">
            <v>6.8</v>
          </cell>
          <cell r="F439">
            <v>6</v>
          </cell>
          <cell r="H439">
            <v>5.3</v>
          </cell>
        </row>
        <row r="440">
          <cell r="A440">
            <v>4310</v>
          </cell>
          <cell r="H440">
            <v>5.3</v>
          </cell>
        </row>
        <row r="441">
          <cell r="A441">
            <v>4320</v>
          </cell>
          <cell r="H441">
            <v>5.3</v>
          </cell>
        </row>
        <row r="442">
          <cell r="A442">
            <v>4330</v>
          </cell>
          <cell r="H442">
            <v>5.3</v>
          </cell>
        </row>
        <row r="443">
          <cell r="A443">
            <v>4340</v>
          </cell>
          <cell r="H443">
            <v>5.3</v>
          </cell>
        </row>
        <row r="444">
          <cell r="A444">
            <v>4350</v>
          </cell>
          <cell r="H444">
            <v>5.3</v>
          </cell>
        </row>
        <row r="445">
          <cell r="A445">
            <v>4360</v>
          </cell>
          <cell r="H445">
            <v>5.3</v>
          </cell>
        </row>
        <row r="446">
          <cell r="A446">
            <v>4370</v>
          </cell>
          <cell r="H446">
            <v>5.3</v>
          </cell>
        </row>
        <row r="447">
          <cell r="A447">
            <v>4380</v>
          </cell>
          <cell r="H447">
            <v>5.3</v>
          </cell>
        </row>
        <row r="448">
          <cell r="A448">
            <v>4390</v>
          </cell>
          <cell r="H448">
            <v>5.3</v>
          </cell>
        </row>
        <row r="449">
          <cell r="A449">
            <v>4400</v>
          </cell>
          <cell r="H449">
            <v>5.3</v>
          </cell>
        </row>
        <row r="450">
          <cell r="A450">
            <v>4410</v>
          </cell>
          <cell r="H450">
            <v>5.3</v>
          </cell>
        </row>
        <row r="451">
          <cell r="A451">
            <v>4420</v>
          </cell>
          <cell r="H451">
            <v>5.3</v>
          </cell>
        </row>
        <row r="452">
          <cell r="A452">
            <v>4430</v>
          </cell>
          <cell r="H452">
            <v>5.3</v>
          </cell>
        </row>
        <row r="453">
          <cell r="A453">
            <v>4440</v>
          </cell>
          <cell r="H453">
            <v>5.3</v>
          </cell>
        </row>
        <row r="454">
          <cell r="A454">
            <v>4450</v>
          </cell>
          <cell r="H454">
            <v>5.3</v>
          </cell>
        </row>
        <row r="455">
          <cell r="A455">
            <v>4460</v>
          </cell>
          <cell r="H455">
            <v>5.3</v>
          </cell>
        </row>
        <row r="456">
          <cell r="A456">
            <v>4470</v>
          </cell>
          <cell r="H456">
            <v>5.3</v>
          </cell>
        </row>
        <row r="457">
          <cell r="A457">
            <v>4480</v>
          </cell>
          <cell r="H457">
            <v>5.3</v>
          </cell>
        </row>
        <row r="458">
          <cell r="A458">
            <v>4490</v>
          </cell>
          <cell r="H458">
            <v>5.3</v>
          </cell>
        </row>
        <row r="459">
          <cell r="A459">
            <v>4500</v>
          </cell>
          <cell r="H459">
            <v>5.3</v>
          </cell>
        </row>
        <row r="460">
          <cell r="A460">
            <v>4510</v>
          </cell>
          <cell r="H460">
            <v>5.3</v>
          </cell>
        </row>
        <row r="461">
          <cell r="A461">
            <v>4520</v>
          </cell>
          <cell r="H461">
            <v>5.3</v>
          </cell>
        </row>
        <row r="462">
          <cell r="A462">
            <v>4530</v>
          </cell>
          <cell r="H462">
            <v>5.3</v>
          </cell>
        </row>
        <row r="463">
          <cell r="A463">
            <v>4540</v>
          </cell>
          <cell r="H463">
            <v>5.3</v>
          </cell>
        </row>
        <row r="464">
          <cell r="A464">
            <v>4550</v>
          </cell>
          <cell r="H464">
            <v>5.3</v>
          </cell>
        </row>
        <row r="465">
          <cell r="A465">
            <v>4560</v>
          </cell>
          <cell r="H465">
            <v>5.3</v>
          </cell>
        </row>
        <row r="466">
          <cell r="A466">
            <v>4570</v>
          </cell>
          <cell r="H466">
            <v>5.3</v>
          </cell>
        </row>
        <row r="467">
          <cell r="A467">
            <v>4580</v>
          </cell>
          <cell r="H467">
            <v>5.3</v>
          </cell>
        </row>
        <row r="468">
          <cell r="A468">
            <v>4590</v>
          </cell>
          <cell r="H468">
            <v>5.3</v>
          </cell>
        </row>
        <row r="469">
          <cell r="A469">
            <v>4600</v>
          </cell>
          <cell r="H469">
            <v>5.3</v>
          </cell>
        </row>
        <row r="470">
          <cell r="A470">
            <v>4610</v>
          </cell>
          <cell r="H470">
            <v>5.3</v>
          </cell>
        </row>
        <row r="471">
          <cell r="A471">
            <v>4620</v>
          </cell>
          <cell r="H471">
            <v>5.3</v>
          </cell>
        </row>
        <row r="472">
          <cell r="A472">
            <v>4630</v>
          </cell>
          <cell r="H472">
            <v>5.3</v>
          </cell>
        </row>
        <row r="473">
          <cell r="A473">
            <v>4640</v>
          </cell>
          <cell r="H473">
            <v>5.3</v>
          </cell>
        </row>
        <row r="474">
          <cell r="A474">
            <v>4650</v>
          </cell>
          <cell r="H474">
            <v>5.3</v>
          </cell>
        </row>
        <row r="475">
          <cell r="A475">
            <v>4660</v>
          </cell>
          <cell r="H475">
            <v>5.3</v>
          </cell>
        </row>
        <row r="476">
          <cell r="A476">
            <v>4670</v>
          </cell>
          <cell r="H476">
            <v>5.3</v>
          </cell>
        </row>
        <row r="477">
          <cell r="A477">
            <v>4680</v>
          </cell>
          <cell r="H477">
            <v>5.3</v>
          </cell>
        </row>
        <row r="478">
          <cell r="A478">
            <v>4690</v>
          </cell>
          <cell r="H478">
            <v>5.3</v>
          </cell>
        </row>
        <row r="479">
          <cell r="A479">
            <v>4700</v>
          </cell>
          <cell r="B479">
            <v>5.2</v>
          </cell>
          <cell r="E479">
            <v>5</v>
          </cell>
          <cell r="H479">
            <v>5.3</v>
          </cell>
        </row>
        <row r="480">
          <cell r="A480">
            <v>4710</v>
          </cell>
          <cell r="H480">
            <v>5.3</v>
          </cell>
        </row>
        <row r="481">
          <cell r="A481">
            <v>4720</v>
          </cell>
          <cell r="H481">
            <v>5.3</v>
          </cell>
        </row>
        <row r="482">
          <cell r="A482">
            <v>4730</v>
          </cell>
          <cell r="H482">
            <v>5.3</v>
          </cell>
        </row>
        <row r="483">
          <cell r="A483">
            <v>4740</v>
          </cell>
          <cell r="H483">
            <v>5.3</v>
          </cell>
        </row>
        <row r="484">
          <cell r="A484">
            <v>4750</v>
          </cell>
          <cell r="H484">
            <v>5.3</v>
          </cell>
        </row>
        <row r="485">
          <cell r="A485">
            <v>4760</v>
          </cell>
          <cell r="H485">
            <v>5.3</v>
          </cell>
        </row>
        <row r="486">
          <cell r="A486">
            <v>4770</v>
          </cell>
          <cell r="H486">
            <v>5.3</v>
          </cell>
        </row>
        <row r="487">
          <cell r="A487">
            <v>4780</v>
          </cell>
          <cell r="H487">
            <v>5.3</v>
          </cell>
        </row>
        <row r="488">
          <cell r="A488">
            <v>4790</v>
          </cell>
          <cell r="H488">
            <v>5.3</v>
          </cell>
        </row>
        <row r="489">
          <cell r="A489">
            <v>4800</v>
          </cell>
          <cell r="H489">
            <v>5.3</v>
          </cell>
        </row>
        <row r="490">
          <cell r="A490">
            <v>4810</v>
          </cell>
          <cell r="H490">
            <v>5.3</v>
          </cell>
        </row>
        <row r="491">
          <cell r="A491">
            <v>4820</v>
          </cell>
          <cell r="H491">
            <v>5.3</v>
          </cell>
        </row>
        <row r="492">
          <cell r="A492">
            <v>4830</v>
          </cell>
          <cell r="H492">
            <v>5.3</v>
          </cell>
        </row>
        <row r="493">
          <cell r="A493">
            <v>4840</v>
          </cell>
          <cell r="H493">
            <v>5.3</v>
          </cell>
        </row>
        <row r="494">
          <cell r="A494">
            <v>4850</v>
          </cell>
          <cell r="H494">
            <v>5.3</v>
          </cell>
        </row>
        <row r="495">
          <cell r="A495">
            <v>4860</v>
          </cell>
          <cell r="H495">
            <v>5.3</v>
          </cell>
        </row>
        <row r="496">
          <cell r="A496">
            <v>4870</v>
          </cell>
          <cell r="H496">
            <v>5.3</v>
          </cell>
        </row>
        <row r="497">
          <cell r="A497">
            <v>4880</v>
          </cell>
          <cell r="H497">
            <v>5.3</v>
          </cell>
        </row>
        <row r="498">
          <cell r="A498">
            <v>4890</v>
          </cell>
          <cell r="H498">
            <v>5.3</v>
          </cell>
        </row>
        <row r="499">
          <cell r="A499">
            <v>4900</v>
          </cell>
          <cell r="H499">
            <v>5.3</v>
          </cell>
        </row>
        <row r="500">
          <cell r="A500">
            <v>4910</v>
          </cell>
          <cell r="H500">
            <v>5.3</v>
          </cell>
        </row>
        <row r="501">
          <cell r="A501">
            <v>4920</v>
          </cell>
          <cell r="H501">
            <v>5.3</v>
          </cell>
        </row>
        <row r="502">
          <cell r="A502">
            <v>4930</v>
          </cell>
          <cell r="H502">
            <v>5.3</v>
          </cell>
        </row>
        <row r="503">
          <cell r="A503">
            <v>4940</v>
          </cell>
          <cell r="H503">
            <v>5.3</v>
          </cell>
        </row>
        <row r="504">
          <cell r="A504">
            <v>4950</v>
          </cell>
          <cell r="H504">
            <v>5.3</v>
          </cell>
        </row>
        <row r="505">
          <cell r="A505">
            <v>4960</v>
          </cell>
          <cell r="H505">
            <v>5.3</v>
          </cell>
        </row>
        <row r="506">
          <cell r="A506">
            <v>4970</v>
          </cell>
          <cell r="H506">
            <v>5.3</v>
          </cell>
        </row>
        <row r="507">
          <cell r="A507">
            <v>4980</v>
          </cell>
          <cell r="H507">
            <v>5.3</v>
          </cell>
        </row>
        <row r="508">
          <cell r="A508">
            <v>4990</v>
          </cell>
          <cell r="H508">
            <v>5.3</v>
          </cell>
        </row>
        <row r="509">
          <cell r="A509">
            <v>5000</v>
          </cell>
          <cell r="H509">
            <v>5.3</v>
          </cell>
        </row>
        <row r="510">
          <cell r="A510">
            <v>5010</v>
          </cell>
          <cell r="H510">
            <v>5.3</v>
          </cell>
        </row>
        <row r="511">
          <cell r="A511">
            <v>5020</v>
          </cell>
          <cell r="C511">
            <v>5.4</v>
          </cell>
          <cell r="H511">
            <v>5.3</v>
          </cell>
        </row>
        <row r="512">
          <cell r="A512">
            <v>5030</v>
          </cell>
          <cell r="H512">
            <v>5.3</v>
          </cell>
        </row>
        <row r="513">
          <cell r="A513">
            <v>5040</v>
          </cell>
          <cell r="H513">
            <v>5.3</v>
          </cell>
        </row>
        <row r="514">
          <cell r="A514">
            <v>5050</v>
          </cell>
          <cell r="H514">
            <v>5.3</v>
          </cell>
        </row>
        <row r="515">
          <cell r="A515">
            <v>5060</v>
          </cell>
          <cell r="H515">
            <v>5.3</v>
          </cell>
        </row>
        <row r="516">
          <cell r="A516">
            <v>5070</v>
          </cell>
          <cell r="H516">
            <v>5.3</v>
          </cell>
        </row>
        <row r="517">
          <cell r="A517">
            <v>5080</v>
          </cell>
          <cell r="H517">
            <v>5.3</v>
          </cell>
        </row>
        <row r="518">
          <cell r="A518">
            <v>5090</v>
          </cell>
          <cell r="H518">
            <v>5.3</v>
          </cell>
        </row>
        <row r="519">
          <cell r="A519">
            <v>5100</v>
          </cell>
          <cell r="G519">
            <v>5</v>
          </cell>
          <cell r="H519">
            <v>5.3</v>
          </cell>
        </row>
        <row r="520">
          <cell r="A520">
            <v>5110</v>
          </cell>
          <cell r="H520">
            <v>5.3</v>
          </cell>
        </row>
        <row r="521">
          <cell r="A521">
            <v>5120</v>
          </cell>
          <cell r="H521">
            <v>5.3</v>
          </cell>
        </row>
        <row r="522">
          <cell r="A522">
            <v>5130</v>
          </cell>
          <cell r="H522">
            <v>5.3</v>
          </cell>
        </row>
        <row r="523">
          <cell r="A523">
            <v>5140</v>
          </cell>
          <cell r="H523">
            <v>5.3</v>
          </cell>
        </row>
        <row r="524">
          <cell r="A524">
            <v>5150</v>
          </cell>
          <cell r="H524">
            <v>5.3</v>
          </cell>
        </row>
        <row r="525">
          <cell r="A525">
            <v>5160</v>
          </cell>
          <cell r="H525">
            <v>5.3</v>
          </cell>
        </row>
        <row r="526">
          <cell r="A526">
            <v>5170</v>
          </cell>
          <cell r="H526">
            <v>5.3</v>
          </cell>
        </row>
        <row r="527">
          <cell r="A527">
            <v>5180</v>
          </cell>
          <cell r="H527">
            <v>5.3</v>
          </cell>
        </row>
        <row r="528">
          <cell r="A528">
            <v>5190</v>
          </cell>
          <cell r="H528">
            <v>5.3</v>
          </cell>
        </row>
        <row r="529">
          <cell r="A529">
            <v>5200</v>
          </cell>
          <cell r="H529">
            <v>5.3</v>
          </cell>
        </row>
        <row r="530">
          <cell r="A530">
            <v>5210</v>
          </cell>
          <cell r="H530">
            <v>5.3</v>
          </cell>
        </row>
        <row r="531">
          <cell r="A531">
            <v>5220</v>
          </cell>
          <cell r="H531">
            <v>5.3</v>
          </cell>
        </row>
        <row r="532">
          <cell r="A532">
            <v>5230</v>
          </cell>
          <cell r="H532">
            <v>5.3</v>
          </cell>
        </row>
        <row r="533">
          <cell r="A533">
            <v>5240</v>
          </cell>
          <cell r="H533">
            <v>5.3</v>
          </cell>
        </row>
        <row r="534">
          <cell r="A534">
            <v>5250</v>
          </cell>
          <cell r="H534">
            <v>5.3</v>
          </cell>
        </row>
        <row r="535">
          <cell r="A535">
            <v>5260</v>
          </cell>
          <cell r="H535">
            <v>5.3</v>
          </cell>
        </row>
        <row r="536">
          <cell r="A536">
            <v>5270</v>
          </cell>
          <cell r="H536">
            <v>5.3</v>
          </cell>
        </row>
        <row r="537">
          <cell r="A537">
            <v>5280</v>
          </cell>
          <cell r="H537">
            <v>5.3</v>
          </cell>
        </row>
        <row r="538">
          <cell r="A538">
            <v>5290</v>
          </cell>
          <cell r="H538">
            <v>5.3</v>
          </cell>
        </row>
        <row r="539">
          <cell r="A539">
            <v>5300</v>
          </cell>
          <cell r="H539">
            <v>5.3</v>
          </cell>
        </row>
        <row r="540">
          <cell r="A540">
            <v>5310</v>
          </cell>
          <cell r="H540">
            <v>5.3</v>
          </cell>
        </row>
        <row r="541">
          <cell r="A541">
            <v>5320</v>
          </cell>
          <cell r="H541">
            <v>5.3</v>
          </cell>
        </row>
        <row r="542">
          <cell r="A542">
            <v>5330</v>
          </cell>
          <cell r="H542">
            <v>5.3</v>
          </cell>
        </row>
        <row r="543">
          <cell r="A543">
            <v>5340</v>
          </cell>
          <cell r="H543">
            <v>5.3</v>
          </cell>
        </row>
        <row r="544">
          <cell r="A544">
            <v>5350</v>
          </cell>
          <cell r="H544">
            <v>5.3</v>
          </cell>
        </row>
        <row r="545">
          <cell r="A545">
            <v>5360</v>
          </cell>
          <cell r="H545">
            <v>5.3</v>
          </cell>
        </row>
        <row r="546">
          <cell r="A546">
            <v>5370</v>
          </cell>
          <cell r="H546">
            <v>5.3</v>
          </cell>
        </row>
        <row r="547">
          <cell r="A547">
            <v>5380</v>
          </cell>
          <cell r="H547">
            <v>5.3</v>
          </cell>
        </row>
        <row r="548">
          <cell r="A548">
            <v>5390</v>
          </cell>
          <cell r="H548">
            <v>5.3</v>
          </cell>
        </row>
        <row r="549">
          <cell r="A549">
            <v>5400</v>
          </cell>
          <cell r="H549">
            <v>5.3</v>
          </cell>
        </row>
        <row r="550">
          <cell r="A550">
            <v>5410</v>
          </cell>
          <cell r="H550">
            <v>5.3</v>
          </cell>
        </row>
        <row r="551">
          <cell r="A551">
            <v>5420</v>
          </cell>
          <cell r="H551">
            <v>5.3</v>
          </cell>
        </row>
        <row r="552">
          <cell r="A552">
            <v>5430</v>
          </cell>
          <cell r="H552">
            <v>5.3</v>
          </cell>
        </row>
        <row r="553">
          <cell r="A553">
            <v>5440</v>
          </cell>
          <cell r="H553">
            <v>5.3</v>
          </cell>
        </row>
        <row r="554">
          <cell r="A554">
            <v>5450</v>
          </cell>
          <cell r="H554">
            <v>5.3</v>
          </cell>
        </row>
        <row r="555">
          <cell r="A555">
            <v>5460</v>
          </cell>
          <cell r="H555">
            <v>5.3</v>
          </cell>
        </row>
        <row r="556">
          <cell r="A556">
            <v>5470</v>
          </cell>
          <cell r="H556">
            <v>5.3</v>
          </cell>
        </row>
        <row r="557">
          <cell r="A557">
            <v>5480</v>
          </cell>
          <cell r="H557">
            <v>5.3</v>
          </cell>
        </row>
        <row r="558">
          <cell r="A558">
            <v>5490</v>
          </cell>
          <cell r="H558">
            <v>5.3</v>
          </cell>
        </row>
        <row r="559">
          <cell r="A559">
            <v>5500</v>
          </cell>
          <cell r="E559">
            <v>5</v>
          </cell>
          <cell r="H559">
            <v>5.3</v>
          </cell>
        </row>
        <row r="560">
          <cell r="A560">
            <v>5510</v>
          </cell>
          <cell r="H560">
            <v>5.3</v>
          </cell>
        </row>
        <row r="561">
          <cell r="A561">
            <v>5520</v>
          </cell>
          <cell r="H561">
            <v>5.3</v>
          </cell>
        </row>
        <row r="562">
          <cell r="A562">
            <v>5530</v>
          </cell>
          <cell r="H562">
            <v>5.3</v>
          </cell>
        </row>
        <row r="563">
          <cell r="A563">
            <v>5540</v>
          </cell>
          <cell r="H563">
            <v>5.3</v>
          </cell>
        </row>
        <row r="564">
          <cell r="A564">
            <v>5550</v>
          </cell>
          <cell r="H564">
            <v>5.3</v>
          </cell>
        </row>
        <row r="565">
          <cell r="A565">
            <v>5560</v>
          </cell>
          <cell r="H565">
            <v>5.3</v>
          </cell>
        </row>
        <row r="566">
          <cell r="A566">
            <v>5570</v>
          </cell>
          <cell r="H566">
            <v>5.3</v>
          </cell>
        </row>
        <row r="567">
          <cell r="A567">
            <v>5580</v>
          </cell>
          <cell r="H567">
            <v>5.3</v>
          </cell>
        </row>
        <row r="568">
          <cell r="A568">
            <v>5590</v>
          </cell>
          <cell r="H568">
            <v>5.3</v>
          </cell>
        </row>
        <row r="569">
          <cell r="A569">
            <v>5600</v>
          </cell>
          <cell r="C569">
            <v>5</v>
          </cell>
          <cell r="H569">
            <v>5.3</v>
          </cell>
        </row>
        <row r="570">
          <cell r="A570">
            <v>5610</v>
          </cell>
          <cell r="H570">
            <v>5.3</v>
          </cell>
        </row>
        <row r="571">
          <cell r="A571">
            <v>5620</v>
          </cell>
          <cell r="H571">
            <v>5.3</v>
          </cell>
        </row>
        <row r="572">
          <cell r="A572">
            <v>5630</v>
          </cell>
          <cell r="H572">
            <v>5.3</v>
          </cell>
        </row>
        <row r="573">
          <cell r="A573">
            <v>5640</v>
          </cell>
          <cell r="H573">
            <v>5.3</v>
          </cell>
        </row>
        <row r="574">
          <cell r="A574">
            <v>5650</v>
          </cell>
          <cell r="H574">
            <v>5.3</v>
          </cell>
        </row>
        <row r="575">
          <cell r="A575">
            <v>5660</v>
          </cell>
          <cell r="H575">
            <v>5.3</v>
          </cell>
        </row>
        <row r="576">
          <cell r="A576">
            <v>5670</v>
          </cell>
          <cell r="H576">
            <v>5.3</v>
          </cell>
        </row>
        <row r="577">
          <cell r="A577">
            <v>5680</v>
          </cell>
          <cell r="H577">
            <v>5.3</v>
          </cell>
        </row>
        <row r="578">
          <cell r="A578">
            <v>5690</v>
          </cell>
          <cell r="H578">
            <v>5.3</v>
          </cell>
        </row>
        <row r="579">
          <cell r="A579">
            <v>5700</v>
          </cell>
          <cell r="H579">
            <v>5.3</v>
          </cell>
        </row>
        <row r="580">
          <cell r="A580">
            <v>5710</v>
          </cell>
          <cell r="H580">
            <v>5.3</v>
          </cell>
        </row>
        <row r="581">
          <cell r="A581">
            <v>5720</v>
          </cell>
          <cell r="H581">
            <v>5.3</v>
          </cell>
        </row>
        <row r="582">
          <cell r="A582">
            <v>5730</v>
          </cell>
          <cell r="H582">
            <v>5.3</v>
          </cell>
        </row>
        <row r="583">
          <cell r="A583">
            <v>5740</v>
          </cell>
          <cell r="H583">
            <v>5.3</v>
          </cell>
        </row>
        <row r="584">
          <cell r="A584">
            <v>5750</v>
          </cell>
          <cell r="H584">
            <v>5.3</v>
          </cell>
        </row>
        <row r="585">
          <cell r="A585">
            <v>5760</v>
          </cell>
          <cell r="H585">
            <v>5.3</v>
          </cell>
        </row>
        <row r="586">
          <cell r="A586">
            <v>5770</v>
          </cell>
          <cell r="H586">
            <v>5.3</v>
          </cell>
        </row>
        <row r="587">
          <cell r="A587">
            <v>5780</v>
          </cell>
          <cell r="H587">
            <v>5.3</v>
          </cell>
        </row>
        <row r="588">
          <cell r="A588">
            <v>5790</v>
          </cell>
          <cell r="H588">
            <v>5.3</v>
          </cell>
        </row>
        <row r="589">
          <cell r="A589">
            <v>5800</v>
          </cell>
          <cell r="H589">
            <v>5.3</v>
          </cell>
        </row>
        <row r="590">
          <cell r="A590">
            <v>5810</v>
          </cell>
          <cell r="H590">
            <v>5.3</v>
          </cell>
        </row>
        <row r="591">
          <cell r="A591">
            <v>5820</v>
          </cell>
          <cell r="H591">
            <v>5.3</v>
          </cell>
        </row>
        <row r="592">
          <cell r="A592">
            <v>5830</v>
          </cell>
          <cell r="H592">
            <v>5.3</v>
          </cell>
        </row>
        <row r="593">
          <cell r="A593">
            <v>5840</v>
          </cell>
          <cell r="H593">
            <v>5.3</v>
          </cell>
        </row>
        <row r="594">
          <cell r="A594">
            <v>5850</v>
          </cell>
          <cell r="H594">
            <v>5.3</v>
          </cell>
        </row>
        <row r="595">
          <cell r="A595">
            <v>5860</v>
          </cell>
          <cell r="H595">
            <v>5.3</v>
          </cell>
        </row>
        <row r="596">
          <cell r="A596">
            <v>5870</v>
          </cell>
          <cell r="H596">
            <v>5.3</v>
          </cell>
        </row>
        <row r="597">
          <cell r="A597">
            <v>5880</v>
          </cell>
          <cell r="H597">
            <v>5.3</v>
          </cell>
        </row>
        <row r="598">
          <cell r="A598">
            <v>5890</v>
          </cell>
          <cell r="G598">
            <v>5.5</v>
          </cell>
          <cell r="H598">
            <v>5.3</v>
          </cell>
        </row>
        <row r="599">
          <cell r="A599">
            <v>5900</v>
          </cell>
          <cell r="H599">
            <v>5.3</v>
          </cell>
        </row>
        <row r="600">
          <cell r="A600">
            <v>5910</v>
          </cell>
          <cell r="H600">
            <v>5.3</v>
          </cell>
        </row>
        <row r="601">
          <cell r="A601">
            <v>5920</v>
          </cell>
          <cell r="H601">
            <v>5.3</v>
          </cell>
        </row>
        <row r="602">
          <cell r="A602">
            <v>5930</v>
          </cell>
          <cell r="H602">
            <v>5.3</v>
          </cell>
        </row>
        <row r="603">
          <cell r="A603">
            <v>5940</v>
          </cell>
          <cell r="H603">
            <v>5.3</v>
          </cell>
        </row>
        <row r="604">
          <cell r="A604">
            <v>5950</v>
          </cell>
          <cell r="H604">
            <v>5.3</v>
          </cell>
        </row>
        <row r="605">
          <cell r="A605">
            <v>5960</v>
          </cell>
          <cell r="H605">
            <v>5.3</v>
          </cell>
        </row>
        <row r="606">
          <cell r="A606">
            <v>5970</v>
          </cell>
          <cell r="H606">
            <v>5.3</v>
          </cell>
        </row>
        <row r="607">
          <cell r="A607">
            <v>5980</v>
          </cell>
          <cell r="H607">
            <v>5.3</v>
          </cell>
        </row>
        <row r="608">
          <cell r="A608">
            <v>5990</v>
          </cell>
          <cell r="H608">
            <v>5.3</v>
          </cell>
        </row>
        <row r="609">
          <cell r="A609">
            <v>6000</v>
          </cell>
          <cell r="B609">
            <v>5</v>
          </cell>
          <cell r="H609">
            <v>5.3</v>
          </cell>
        </row>
        <row r="610">
          <cell r="A610">
            <v>6010</v>
          </cell>
          <cell r="H610">
            <v>5.3</v>
          </cell>
        </row>
        <row r="611">
          <cell r="A611">
            <v>6020</v>
          </cell>
          <cell r="H611">
            <v>5.3</v>
          </cell>
        </row>
        <row r="612">
          <cell r="A612">
            <v>6030</v>
          </cell>
          <cell r="H612">
            <v>5.3</v>
          </cell>
        </row>
        <row r="613">
          <cell r="A613">
            <v>6040</v>
          </cell>
          <cell r="H613">
            <v>5.3</v>
          </cell>
        </row>
        <row r="614">
          <cell r="A614">
            <v>6050</v>
          </cell>
          <cell r="H614">
            <v>5.3</v>
          </cell>
        </row>
        <row r="615">
          <cell r="A615">
            <v>6060</v>
          </cell>
          <cell r="H615">
            <v>5.3</v>
          </cell>
        </row>
        <row r="616">
          <cell r="A616">
            <v>6070</v>
          </cell>
          <cell r="H616">
            <v>5.3</v>
          </cell>
        </row>
        <row r="617">
          <cell r="A617">
            <v>6080</v>
          </cell>
          <cell r="H617">
            <v>5.3</v>
          </cell>
        </row>
        <row r="618">
          <cell r="A618">
            <v>6090</v>
          </cell>
          <cell r="H618">
            <v>5.3</v>
          </cell>
        </row>
        <row r="619">
          <cell r="A619">
            <v>6100</v>
          </cell>
          <cell r="H619">
            <v>5.3</v>
          </cell>
        </row>
        <row r="620">
          <cell r="A620">
            <v>6110</v>
          </cell>
          <cell r="H620">
            <v>5.3</v>
          </cell>
        </row>
        <row r="621">
          <cell r="A621">
            <v>6120</v>
          </cell>
          <cell r="H621">
            <v>5.3</v>
          </cell>
        </row>
        <row r="622">
          <cell r="A622">
            <v>6130</v>
          </cell>
          <cell r="H622">
            <v>5.3</v>
          </cell>
        </row>
        <row r="623">
          <cell r="A623">
            <v>6140</v>
          </cell>
          <cell r="H623">
            <v>5.3</v>
          </cell>
        </row>
        <row r="624">
          <cell r="A624">
            <v>6150</v>
          </cell>
          <cell r="H624">
            <v>5.3</v>
          </cell>
        </row>
        <row r="625">
          <cell r="A625">
            <v>6160</v>
          </cell>
          <cell r="H625">
            <v>5.3</v>
          </cell>
        </row>
        <row r="626">
          <cell r="A626">
            <v>6170</v>
          </cell>
          <cell r="H626">
            <v>5.3</v>
          </cell>
        </row>
        <row r="627">
          <cell r="A627">
            <v>6180</v>
          </cell>
          <cell r="H627">
            <v>5.3</v>
          </cell>
        </row>
        <row r="628">
          <cell r="A628">
            <v>6190</v>
          </cell>
          <cell r="H628">
            <v>5.3</v>
          </cell>
        </row>
        <row r="629">
          <cell r="A629">
            <v>6200</v>
          </cell>
          <cell r="H629">
            <v>5.3</v>
          </cell>
        </row>
        <row r="630">
          <cell r="A630">
            <v>6210</v>
          </cell>
          <cell r="H630">
            <v>5.3</v>
          </cell>
        </row>
        <row r="631">
          <cell r="A631">
            <v>6220</v>
          </cell>
          <cell r="H631">
            <v>5.3</v>
          </cell>
        </row>
        <row r="632">
          <cell r="A632">
            <v>6230</v>
          </cell>
          <cell r="H632">
            <v>5.3</v>
          </cell>
        </row>
        <row r="633">
          <cell r="A633">
            <v>6240</v>
          </cell>
          <cell r="H633">
            <v>5.3</v>
          </cell>
        </row>
        <row r="634">
          <cell r="A634">
            <v>6250</v>
          </cell>
          <cell r="H634">
            <v>5.3</v>
          </cell>
        </row>
        <row r="635">
          <cell r="A635">
            <v>6260</v>
          </cell>
          <cell r="H635">
            <v>5.3</v>
          </cell>
        </row>
        <row r="636">
          <cell r="A636">
            <v>6270</v>
          </cell>
          <cell r="H636">
            <v>5.3</v>
          </cell>
        </row>
        <row r="637">
          <cell r="A637">
            <v>6280</v>
          </cell>
          <cell r="H637">
            <v>5.3</v>
          </cell>
        </row>
        <row r="638">
          <cell r="A638">
            <v>6290</v>
          </cell>
          <cell r="H638">
            <v>5.3</v>
          </cell>
        </row>
        <row r="639">
          <cell r="A639">
            <v>6300</v>
          </cell>
          <cell r="H639">
            <v>5.3</v>
          </cell>
        </row>
        <row r="640">
          <cell r="A640">
            <v>6310</v>
          </cell>
          <cell r="E640">
            <v>5.3</v>
          </cell>
          <cell r="H640">
            <v>5.3</v>
          </cell>
        </row>
        <row r="641">
          <cell r="A641">
            <v>6320</v>
          </cell>
          <cell r="H641">
            <v>5.3</v>
          </cell>
        </row>
        <row r="642">
          <cell r="A642">
            <v>6330</v>
          </cell>
          <cell r="H642">
            <v>5.3</v>
          </cell>
        </row>
        <row r="643">
          <cell r="A643">
            <v>6340</v>
          </cell>
          <cell r="H643">
            <v>5.3</v>
          </cell>
        </row>
        <row r="644">
          <cell r="A644">
            <v>6350</v>
          </cell>
          <cell r="H644">
            <v>5.3</v>
          </cell>
        </row>
        <row r="645">
          <cell r="A645">
            <v>6360</v>
          </cell>
          <cell r="H645">
            <v>5.3</v>
          </cell>
        </row>
        <row r="646">
          <cell r="A646">
            <v>6370</v>
          </cell>
          <cell r="H646">
            <v>5.3</v>
          </cell>
        </row>
        <row r="647">
          <cell r="A647">
            <v>6380</v>
          </cell>
          <cell r="H647">
            <v>5.3</v>
          </cell>
        </row>
        <row r="648">
          <cell r="A648">
            <v>6390</v>
          </cell>
          <cell r="H648">
            <v>5.3</v>
          </cell>
        </row>
        <row r="649">
          <cell r="A649">
            <v>6400</v>
          </cell>
          <cell r="B649">
            <v>5</v>
          </cell>
          <cell r="H649">
            <v>5.3</v>
          </cell>
        </row>
        <row r="650">
          <cell r="A650">
            <v>6410</v>
          </cell>
          <cell r="H650">
            <v>5.3</v>
          </cell>
        </row>
        <row r="651">
          <cell r="A651">
            <v>6420</v>
          </cell>
          <cell r="H651">
            <v>5.3</v>
          </cell>
        </row>
        <row r="652">
          <cell r="A652">
            <v>6430</v>
          </cell>
          <cell r="H652">
            <v>5.3</v>
          </cell>
        </row>
        <row r="653">
          <cell r="A653">
            <v>6440</v>
          </cell>
          <cell r="H653">
            <v>5.3</v>
          </cell>
        </row>
        <row r="654">
          <cell r="A654">
            <v>6450</v>
          </cell>
          <cell r="H654">
            <v>5.3</v>
          </cell>
        </row>
        <row r="655">
          <cell r="A655">
            <v>6460</v>
          </cell>
          <cell r="H655">
            <v>5.3</v>
          </cell>
        </row>
        <row r="656">
          <cell r="A656">
            <v>6470</v>
          </cell>
          <cell r="H656">
            <v>5.3</v>
          </cell>
        </row>
        <row r="657">
          <cell r="A657">
            <v>6480</v>
          </cell>
          <cell r="H657">
            <v>5.3</v>
          </cell>
        </row>
        <row r="658">
          <cell r="A658">
            <v>6490</v>
          </cell>
          <cell r="H658">
            <v>5.3</v>
          </cell>
        </row>
        <row r="659">
          <cell r="A659">
            <v>6500</v>
          </cell>
          <cell r="H659">
            <v>5.3</v>
          </cell>
        </row>
        <row r="660">
          <cell r="A660">
            <v>6510</v>
          </cell>
          <cell r="H660">
            <v>5.3</v>
          </cell>
        </row>
        <row r="661">
          <cell r="A661">
            <v>6520</v>
          </cell>
          <cell r="H661">
            <v>5.3</v>
          </cell>
        </row>
        <row r="662">
          <cell r="A662">
            <v>6530</v>
          </cell>
          <cell r="H662">
            <v>5.3</v>
          </cell>
        </row>
        <row r="663">
          <cell r="A663">
            <v>6540</v>
          </cell>
          <cell r="H663">
            <v>5.3</v>
          </cell>
        </row>
        <row r="664">
          <cell r="A664">
            <v>6550</v>
          </cell>
          <cell r="H664">
            <v>5.3</v>
          </cell>
        </row>
        <row r="665">
          <cell r="A665">
            <v>6560</v>
          </cell>
          <cell r="H665">
            <v>5.3</v>
          </cell>
        </row>
        <row r="666">
          <cell r="A666">
            <v>6570</v>
          </cell>
          <cell r="H666">
            <v>5.3</v>
          </cell>
        </row>
        <row r="667">
          <cell r="A667">
            <v>6580</v>
          </cell>
          <cell r="H667">
            <v>5.3</v>
          </cell>
        </row>
        <row r="668">
          <cell r="A668">
            <v>6590</v>
          </cell>
          <cell r="H668">
            <v>5.3</v>
          </cell>
        </row>
        <row r="669">
          <cell r="A669">
            <v>6600</v>
          </cell>
          <cell r="H669">
            <v>5.3</v>
          </cell>
        </row>
        <row r="670">
          <cell r="A670">
            <v>6610</v>
          </cell>
          <cell r="H670">
            <v>5.3</v>
          </cell>
        </row>
        <row r="671">
          <cell r="A671">
            <v>6620</v>
          </cell>
          <cell r="H671">
            <v>5.3</v>
          </cell>
        </row>
        <row r="672">
          <cell r="A672">
            <v>6630</v>
          </cell>
          <cell r="H672">
            <v>5.3</v>
          </cell>
        </row>
        <row r="673">
          <cell r="A673">
            <v>6640</v>
          </cell>
          <cell r="H673">
            <v>5.3</v>
          </cell>
        </row>
        <row r="674">
          <cell r="A674">
            <v>6650</v>
          </cell>
          <cell r="H674">
            <v>5.3</v>
          </cell>
        </row>
        <row r="675">
          <cell r="A675">
            <v>6660</v>
          </cell>
          <cell r="H675">
            <v>5.3</v>
          </cell>
        </row>
        <row r="676">
          <cell r="A676">
            <v>6670</v>
          </cell>
          <cell r="H676">
            <v>5.3</v>
          </cell>
        </row>
        <row r="677">
          <cell r="A677">
            <v>6680</v>
          </cell>
          <cell r="H677">
            <v>5.3</v>
          </cell>
        </row>
        <row r="678">
          <cell r="A678">
            <v>6690</v>
          </cell>
          <cell r="H678">
            <v>5.3</v>
          </cell>
        </row>
        <row r="679">
          <cell r="A679">
            <v>6700</v>
          </cell>
          <cell r="G679">
            <v>6.5</v>
          </cell>
          <cell r="H679">
            <v>5.3</v>
          </cell>
        </row>
        <row r="680">
          <cell r="A680">
            <v>6710</v>
          </cell>
          <cell r="H680">
            <v>5.3</v>
          </cell>
        </row>
        <row r="681">
          <cell r="A681">
            <v>6720</v>
          </cell>
          <cell r="H681">
            <v>5.3</v>
          </cell>
        </row>
        <row r="682">
          <cell r="A682">
            <v>6730</v>
          </cell>
          <cell r="H682">
            <v>5.3</v>
          </cell>
        </row>
        <row r="683">
          <cell r="A683">
            <v>6740</v>
          </cell>
          <cell r="H683">
            <v>5.3</v>
          </cell>
        </row>
        <row r="684">
          <cell r="A684">
            <v>6750</v>
          </cell>
          <cell r="H684">
            <v>5.3</v>
          </cell>
        </row>
        <row r="685">
          <cell r="A685">
            <v>6760</v>
          </cell>
          <cell r="H685">
            <v>5.3</v>
          </cell>
        </row>
        <row r="686">
          <cell r="A686">
            <v>6770</v>
          </cell>
          <cell r="H686">
            <v>5.3</v>
          </cell>
        </row>
        <row r="687">
          <cell r="A687">
            <v>6780</v>
          </cell>
          <cell r="H687">
            <v>5.3</v>
          </cell>
        </row>
        <row r="688">
          <cell r="A688">
            <v>6790</v>
          </cell>
          <cell r="H688">
            <v>5.3</v>
          </cell>
        </row>
        <row r="689">
          <cell r="A689">
            <v>6800</v>
          </cell>
          <cell r="B689">
            <v>5</v>
          </cell>
          <cell r="H689">
            <v>5.3</v>
          </cell>
        </row>
        <row r="690">
          <cell r="A690">
            <v>6810</v>
          </cell>
          <cell r="H690">
            <v>5.3</v>
          </cell>
        </row>
        <row r="691">
          <cell r="A691">
            <v>6820</v>
          </cell>
          <cell r="H691">
            <v>5.3</v>
          </cell>
        </row>
        <row r="692">
          <cell r="A692">
            <v>6830</v>
          </cell>
          <cell r="H692">
            <v>5.3</v>
          </cell>
        </row>
        <row r="693">
          <cell r="A693">
            <v>6840</v>
          </cell>
          <cell r="H693">
            <v>5.3</v>
          </cell>
        </row>
        <row r="694">
          <cell r="A694">
            <v>6850</v>
          </cell>
          <cell r="H694">
            <v>5.3</v>
          </cell>
        </row>
        <row r="695">
          <cell r="A695">
            <v>6860</v>
          </cell>
          <cell r="H695">
            <v>5.3</v>
          </cell>
        </row>
        <row r="696">
          <cell r="A696">
            <v>6870</v>
          </cell>
          <cell r="H696">
            <v>5.3</v>
          </cell>
        </row>
        <row r="697">
          <cell r="A697">
            <v>6880</v>
          </cell>
          <cell r="H697">
            <v>5.3</v>
          </cell>
        </row>
        <row r="698">
          <cell r="A698">
            <v>6890</v>
          </cell>
          <cell r="H698">
            <v>5.3</v>
          </cell>
        </row>
        <row r="699">
          <cell r="A699">
            <v>6900</v>
          </cell>
          <cell r="H699">
            <v>5.3</v>
          </cell>
        </row>
        <row r="700">
          <cell r="A700">
            <v>6910</v>
          </cell>
          <cell r="H700">
            <v>5.3</v>
          </cell>
        </row>
        <row r="701">
          <cell r="A701">
            <v>6920</v>
          </cell>
          <cell r="H701">
            <v>5.3</v>
          </cell>
        </row>
        <row r="702">
          <cell r="A702">
            <v>6930</v>
          </cell>
          <cell r="H702">
            <v>5.3</v>
          </cell>
        </row>
        <row r="703">
          <cell r="A703">
            <v>6940</v>
          </cell>
          <cell r="H703">
            <v>5.3</v>
          </cell>
        </row>
        <row r="704">
          <cell r="A704">
            <v>6950</v>
          </cell>
          <cell r="H704">
            <v>5.3</v>
          </cell>
        </row>
        <row r="705">
          <cell r="A705">
            <v>6960</v>
          </cell>
          <cell r="H705">
            <v>5.3</v>
          </cell>
        </row>
        <row r="706">
          <cell r="A706">
            <v>6970</v>
          </cell>
          <cell r="H706">
            <v>5.3</v>
          </cell>
        </row>
        <row r="707">
          <cell r="A707">
            <v>6980</v>
          </cell>
          <cell r="H707">
            <v>5.3</v>
          </cell>
        </row>
        <row r="708">
          <cell r="A708">
            <v>6990</v>
          </cell>
          <cell r="H708">
            <v>5.3</v>
          </cell>
        </row>
        <row r="709">
          <cell r="A709">
            <v>7000</v>
          </cell>
          <cell r="H709">
            <v>5.3</v>
          </cell>
        </row>
        <row r="710">
          <cell r="A710">
            <v>7010</v>
          </cell>
          <cell r="H710">
            <v>5.3</v>
          </cell>
        </row>
        <row r="711">
          <cell r="A711">
            <v>7020</v>
          </cell>
          <cell r="H711">
            <v>5.3</v>
          </cell>
        </row>
        <row r="712">
          <cell r="A712">
            <v>7030</v>
          </cell>
          <cell r="H712">
            <v>5.3</v>
          </cell>
        </row>
        <row r="713">
          <cell r="A713">
            <v>7040</v>
          </cell>
          <cell r="H713">
            <v>5.3</v>
          </cell>
        </row>
        <row r="714">
          <cell r="A714">
            <v>7050</v>
          </cell>
          <cell r="H714">
            <v>5.3</v>
          </cell>
        </row>
        <row r="715">
          <cell r="A715">
            <v>7060</v>
          </cell>
          <cell r="H715">
            <v>5.3</v>
          </cell>
        </row>
        <row r="716">
          <cell r="A716">
            <v>7070</v>
          </cell>
          <cell r="H716">
            <v>5.3</v>
          </cell>
        </row>
        <row r="717">
          <cell r="A717">
            <v>7080</v>
          </cell>
          <cell r="H717">
            <v>5.3</v>
          </cell>
        </row>
        <row r="718">
          <cell r="A718">
            <v>7090</v>
          </cell>
          <cell r="H718">
            <v>5.3</v>
          </cell>
        </row>
        <row r="719">
          <cell r="A719">
            <v>7100</v>
          </cell>
          <cell r="E719">
            <v>6</v>
          </cell>
          <cell r="H719">
            <v>5.3</v>
          </cell>
        </row>
        <row r="720">
          <cell r="A720">
            <v>7110</v>
          </cell>
          <cell r="H720">
            <v>5.3</v>
          </cell>
        </row>
        <row r="721">
          <cell r="A721">
            <v>7120</v>
          </cell>
          <cell r="H721">
            <v>5.3</v>
          </cell>
        </row>
        <row r="722">
          <cell r="A722">
            <v>7130</v>
          </cell>
          <cell r="H722">
            <v>5.3</v>
          </cell>
        </row>
        <row r="723">
          <cell r="A723">
            <v>7140</v>
          </cell>
          <cell r="H723">
            <v>5.3</v>
          </cell>
        </row>
        <row r="724">
          <cell r="A724">
            <v>7150</v>
          </cell>
          <cell r="H724">
            <v>5.3</v>
          </cell>
        </row>
        <row r="725">
          <cell r="A725">
            <v>7160</v>
          </cell>
          <cell r="H725">
            <v>5.3</v>
          </cell>
        </row>
        <row r="726">
          <cell r="A726">
            <v>7170</v>
          </cell>
          <cell r="H726">
            <v>5.3</v>
          </cell>
        </row>
        <row r="727">
          <cell r="A727">
            <v>7180</v>
          </cell>
          <cell r="H727">
            <v>5.3</v>
          </cell>
        </row>
        <row r="728">
          <cell r="A728">
            <v>7190</v>
          </cell>
          <cell r="H728">
            <v>5.3</v>
          </cell>
        </row>
        <row r="729">
          <cell r="A729">
            <v>7200</v>
          </cell>
          <cell r="D729">
            <v>5</v>
          </cell>
          <cell r="H729">
            <v>5.3</v>
          </cell>
        </row>
        <row r="730">
          <cell r="A730">
            <v>7210</v>
          </cell>
          <cell r="H730">
            <v>5.3</v>
          </cell>
        </row>
        <row r="731">
          <cell r="A731">
            <v>7220</v>
          </cell>
          <cell r="H731">
            <v>5.3</v>
          </cell>
        </row>
        <row r="732">
          <cell r="A732">
            <v>7230</v>
          </cell>
          <cell r="H732">
            <v>5.3</v>
          </cell>
        </row>
        <row r="733">
          <cell r="A733">
            <v>7240</v>
          </cell>
          <cell r="H733">
            <v>5.3</v>
          </cell>
        </row>
        <row r="734">
          <cell r="A734">
            <v>7250</v>
          </cell>
          <cell r="H734">
            <v>5.3</v>
          </cell>
        </row>
        <row r="735">
          <cell r="A735">
            <v>7260</v>
          </cell>
          <cell r="H735">
            <v>5.3</v>
          </cell>
        </row>
        <row r="736">
          <cell r="A736">
            <v>7270</v>
          </cell>
          <cell r="H736">
            <v>5.3</v>
          </cell>
        </row>
        <row r="737">
          <cell r="A737">
            <v>7280</v>
          </cell>
          <cell r="H737">
            <v>5.3</v>
          </cell>
        </row>
        <row r="738">
          <cell r="A738">
            <v>7290</v>
          </cell>
          <cell r="H738">
            <v>5.3</v>
          </cell>
        </row>
        <row r="739">
          <cell r="A739">
            <v>7300</v>
          </cell>
          <cell r="H739">
            <v>5.3</v>
          </cell>
        </row>
        <row r="740">
          <cell r="A740">
            <v>7310</v>
          </cell>
          <cell r="H740">
            <v>5.3</v>
          </cell>
        </row>
        <row r="741">
          <cell r="A741">
            <v>7320</v>
          </cell>
          <cell r="H741">
            <v>5.3</v>
          </cell>
        </row>
        <row r="742">
          <cell r="A742">
            <v>7330</v>
          </cell>
          <cell r="H742">
            <v>5.3</v>
          </cell>
        </row>
        <row r="743">
          <cell r="A743">
            <v>7340</v>
          </cell>
          <cell r="H743">
            <v>5.3</v>
          </cell>
        </row>
        <row r="744">
          <cell r="A744">
            <v>7350</v>
          </cell>
          <cell r="H744">
            <v>5.3</v>
          </cell>
        </row>
        <row r="745">
          <cell r="A745">
            <v>7360</v>
          </cell>
          <cell r="H745">
            <v>5.3</v>
          </cell>
        </row>
        <row r="746">
          <cell r="A746">
            <v>7370</v>
          </cell>
          <cell r="H746">
            <v>5.3</v>
          </cell>
        </row>
        <row r="747">
          <cell r="A747">
            <v>7380</v>
          </cell>
          <cell r="H747">
            <v>5.3</v>
          </cell>
        </row>
        <row r="748">
          <cell r="A748">
            <v>7390</v>
          </cell>
          <cell r="H748">
            <v>5.3</v>
          </cell>
        </row>
        <row r="749">
          <cell r="A749">
            <v>7400</v>
          </cell>
          <cell r="H749">
            <v>5.3</v>
          </cell>
        </row>
        <row r="750">
          <cell r="A750">
            <v>7410</v>
          </cell>
          <cell r="H750">
            <v>5.3</v>
          </cell>
        </row>
        <row r="751">
          <cell r="A751">
            <v>7420</v>
          </cell>
          <cell r="H751">
            <v>5.3</v>
          </cell>
        </row>
        <row r="752">
          <cell r="A752">
            <v>7430</v>
          </cell>
          <cell r="H752">
            <v>5.3</v>
          </cell>
        </row>
        <row r="753">
          <cell r="A753">
            <v>7440</v>
          </cell>
          <cell r="H753">
            <v>5.3</v>
          </cell>
        </row>
        <row r="754">
          <cell r="A754">
            <v>7450</v>
          </cell>
          <cell r="H754">
            <v>5.3</v>
          </cell>
        </row>
        <row r="755">
          <cell r="A755">
            <v>7460</v>
          </cell>
          <cell r="H755">
            <v>5.3</v>
          </cell>
        </row>
        <row r="756">
          <cell r="A756">
            <v>7470</v>
          </cell>
          <cell r="H756">
            <v>5.3</v>
          </cell>
        </row>
        <row r="757">
          <cell r="A757">
            <v>7480</v>
          </cell>
          <cell r="H757">
            <v>5.3</v>
          </cell>
        </row>
        <row r="758">
          <cell r="A758">
            <v>7490</v>
          </cell>
          <cell r="H758">
            <v>5.3</v>
          </cell>
        </row>
        <row r="759">
          <cell r="A759">
            <v>7500</v>
          </cell>
          <cell r="E759">
            <v>6.5</v>
          </cell>
          <cell r="H759">
            <v>5.3</v>
          </cell>
        </row>
        <row r="760">
          <cell r="A760">
            <v>7510</v>
          </cell>
          <cell r="H760">
            <v>5.3</v>
          </cell>
        </row>
        <row r="761">
          <cell r="A761">
            <v>7520</v>
          </cell>
          <cell r="H761">
            <v>5.3</v>
          </cell>
        </row>
        <row r="762">
          <cell r="A762">
            <v>7530</v>
          </cell>
          <cell r="H762">
            <v>5.3</v>
          </cell>
        </row>
        <row r="763">
          <cell r="A763">
            <v>7540</v>
          </cell>
          <cell r="H763">
            <v>5.3</v>
          </cell>
        </row>
        <row r="764">
          <cell r="A764">
            <v>7550</v>
          </cell>
          <cell r="H764">
            <v>5.3</v>
          </cell>
        </row>
        <row r="765">
          <cell r="A765">
            <v>7560</v>
          </cell>
          <cell r="H765">
            <v>5.3</v>
          </cell>
        </row>
        <row r="766">
          <cell r="A766">
            <v>7570</v>
          </cell>
          <cell r="H766">
            <v>5.3</v>
          </cell>
        </row>
        <row r="767">
          <cell r="A767">
            <v>7580</v>
          </cell>
          <cell r="H767">
            <v>5.3</v>
          </cell>
        </row>
        <row r="768">
          <cell r="A768">
            <v>7590</v>
          </cell>
          <cell r="H768">
            <v>5.3</v>
          </cell>
        </row>
        <row r="769">
          <cell r="A769">
            <v>7600</v>
          </cell>
          <cell r="D769">
            <v>5.4</v>
          </cell>
          <cell r="H769">
            <v>5.3</v>
          </cell>
        </row>
        <row r="770">
          <cell r="A770">
            <v>7610</v>
          </cell>
          <cell r="H770">
            <v>5.3</v>
          </cell>
        </row>
        <row r="771">
          <cell r="A771">
            <v>7620</v>
          </cell>
          <cell r="H771">
            <v>5.3</v>
          </cell>
        </row>
        <row r="772">
          <cell r="A772">
            <v>7630</v>
          </cell>
          <cell r="H772">
            <v>5.3</v>
          </cell>
        </row>
        <row r="773">
          <cell r="A773">
            <v>7640</v>
          </cell>
          <cell r="H773">
            <v>5.3</v>
          </cell>
        </row>
        <row r="774">
          <cell r="A774">
            <v>7650</v>
          </cell>
          <cell r="H774">
            <v>5.3</v>
          </cell>
        </row>
        <row r="775">
          <cell r="A775">
            <v>7660</v>
          </cell>
          <cell r="H775">
            <v>5.3</v>
          </cell>
        </row>
        <row r="776">
          <cell r="A776">
            <v>7670</v>
          </cell>
          <cell r="H776">
            <v>5.3</v>
          </cell>
        </row>
        <row r="777">
          <cell r="A777">
            <v>7680</v>
          </cell>
          <cell r="H777">
            <v>5.3</v>
          </cell>
        </row>
        <row r="778">
          <cell r="A778">
            <v>7690</v>
          </cell>
          <cell r="H778">
            <v>5.3</v>
          </cell>
        </row>
        <row r="779">
          <cell r="A779">
            <v>7700</v>
          </cell>
          <cell r="H779">
            <v>5.3</v>
          </cell>
        </row>
        <row r="780">
          <cell r="A780">
            <v>7710</v>
          </cell>
          <cell r="H780">
            <v>5.3</v>
          </cell>
        </row>
        <row r="781">
          <cell r="A781">
            <v>7720</v>
          </cell>
          <cell r="H781">
            <v>5.3</v>
          </cell>
        </row>
        <row r="782">
          <cell r="A782">
            <v>7730</v>
          </cell>
          <cell r="H782">
            <v>5.3</v>
          </cell>
        </row>
        <row r="783">
          <cell r="A783">
            <v>7740</v>
          </cell>
          <cell r="H783">
            <v>5.3</v>
          </cell>
        </row>
        <row r="784">
          <cell r="A784">
            <v>7750</v>
          </cell>
          <cell r="H784">
            <v>5.3</v>
          </cell>
        </row>
        <row r="785">
          <cell r="A785">
            <v>7760</v>
          </cell>
          <cell r="H785">
            <v>5.3</v>
          </cell>
        </row>
        <row r="786">
          <cell r="A786">
            <v>7770</v>
          </cell>
          <cell r="H786">
            <v>5.3</v>
          </cell>
        </row>
        <row r="787">
          <cell r="A787">
            <v>7780</v>
          </cell>
          <cell r="H787">
            <v>5.3</v>
          </cell>
        </row>
        <row r="788">
          <cell r="A788">
            <v>7790</v>
          </cell>
          <cell r="H788">
            <v>5.3</v>
          </cell>
        </row>
        <row r="789">
          <cell r="A789">
            <v>7800</v>
          </cell>
          <cell r="H789">
            <v>5.3</v>
          </cell>
        </row>
        <row r="790">
          <cell r="A790">
            <v>7810</v>
          </cell>
          <cell r="H790">
            <v>5.3</v>
          </cell>
        </row>
        <row r="791">
          <cell r="A791">
            <v>7820</v>
          </cell>
          <cell r="H791">
            <v>5.3</v>
          </cell>
        </row>
        <row r="792">
          <cell r="A792">
            <v>7830</v>
          </cell>
          <cell r="H792">
            <v>5.3</v>
          </cell>
        </row>
        <row r="793">
          <cell r="A793">
            <v>7840</v>
          </cell>
          <cell r="H793">
            <v>5.3</v>
          </cell>
        </row>
        <row r="794">
          <cell r="A794">
            <v>7850</v>
          </cell>
          <cell r="H794">
            <v>5.3</v>
          </cell>
        </row>
        <row r="795">
          <cell r="A795">
            <v>7860</v>
          </cell>
          <cell r="H795">
            <v>5.3</v>
          </cell>
        </row>
        <row r="796">
          <cell r="A796">
            <v>7870</v>
          </cell>
          <cell r="H796">
            <v>5.3</v>
          </cell>
        </row>
        <row r="797">
          <cell r="A797">
            <v>7880</v>
          </cell>
          <cell r="H797">
            <v>5.3</v>
          </cell>
        </row>
        <row r="798">
          <cell r="A798">
            <v>7890</v>
          </cell>
          <cell r="H798">
            <v>5.3</v>
          </cell>
        </row>
        <row r="799">
          <cell r="A799">
            <v>7900</v>
          </cell>
          <cell r="G799">
            <v>5.5</v>
          </cell>
          <cell r="H799">
            <v>5.3</v>
          </cell>
        </row>
        <row r="800">
          <cell r="A800">
            <v>7910</v>
          </cell>
          <cell r="H800">
            <v>5.3</v>
          </cell>
        </row>
        <row r="801">
          <cell r="A801">
            <v>7920</v>
          </cell>
          <cell r="H801">
            <v>5.3</v>
          </cell>
        </row>
        <row r="802">
          <cell r="A802">
            <v>7930</v>
          </cell>
          <cell r="H802">
            <v>5.3</v>
          </cell>
        </row>
        <row r="803">
          <cell r="A803">
            <v>7940</v>
          </cell>
          <cell r="H803">
            <v>5.3</v>
          </cell>
        </row>
        <row r="804">
          <cell r="A804">
            <v>7950</v>
          </cell>
          <cell r="H804">
            <v>5.3</v>
          </cell>
        </row>
        <row r="805">
          <cell r="A805">
            <v>7960</v>
          </cell>
          <cell r="H805">
            <v>5.3</v>
          </cell>
        </row>
        <row r="806">
          <cell r="A806">
            <v>7970</v>
          </cell>
          <cell r="H806">
            <v>5.3</v>
          </cell>
        </row>
        <row r="807">
          <cell r="A807">
            <v>7980</v>
          </cell>
          <cell r="H807">
            <v>5.3</v>
          </cell>
        </row>
        <row r="808">
          <cell r="A808">
            <v>7990</v>
          </cell>
          <cell r="H808">
            <v>5.3</v>
          </cell>
        </row>
        <row r="809">
          <cell r="A809">
            <v>8000</v>
          </cell>
          <cell r="B809">
            <v>5</v>
          </cell>
          <cell r="H809">
            <v>5.3</v>
          </cell>
        </row>
        <row r="810">
          <cell r="A810">
            <v>8010</v>
          </cell>
          <cell r="H810">
            <v>5.3</v>
          </cell>
        </row>
        <row r="811">
          <cell r="A811">
            <v>8020</v>
          </cell>
          <cell r="H811">
            <v>5.3</v>
          </cell>
        </row>
        <row r="812">
          <cell r="A812">
            <v>8030</v>
          </cell>
          <cell r="H812">
            <v>5.3</v>
          </cell>
        </row>
        <row r="813">
          <cell r="A813">
            <v>8040</v>
          </cell>
          <cell r="H813">
            <v>5.3</v>
          </cell>
        </row>
        <row r="814">
          <cell r="A814">
            <v>8050</v>
          </cell>
          <cell r="H814">
            <v>5.3</v>
          </cell>
        </row>
        <row r="815">
          <cell r="A815">
            <v>8060</v>
          </cell>
          <cell r="H815">
            <v>5.3</v>
          </cell>
        </row>
        <row r="816">
          <cell r="A816">
            <v>8070</v>
          </cell>
          <cell r="H816">
            <v>5.3</v>
          </cell>
        </row>
        <row r="817">
          <cell r="A817">
            <v>8080</v>
          </cell>
          <cell r="H817">
            <v>5.3</v>
          </cell>
        </row>
        <row r="818">
          <cell r="A818">
            <v>8090</v>
          </cell>
          <cell r="H818">
            <v>5.3</v>
          </cell>
        </row>
        <row r="819">
          <cell r="A819">
            <v>8100</v>
          </cell>
          <cell r="H819">
            <v>5.3</v>
          </cell>
        </row>
        <row r="820">
          <cell r="A820">
            <v>8110</v>
          </cell>
          <cell r="H820">
            <v>5.3</v>
          </cell>
        </row>
        <row r="821">
          <cell r="A821">
            <v>8120</v>
          </cell>
          <cell r="H821">
            <v>5.3</v>
          </cell>
        </row>
        <row r="822">
          <cell r="A822">
            <v>8130</v>
          </cell>
          <cell r="H822">
            <v>5.3</v>
          </cell>
        </row>
        <row r="823">
          <cell r="A823">
            <v>8140</v>
          </cell>
          <cell r="H823">
            <v>5.3</v>
          </cell>
        </row>
        <row r="824">
          <cell r="A824">
            <v>8150</v>
          </cell>
          <cell r="H824">
            <v>5.3</v>
          </cell>
        </row>
        <row r="825">
          <cell r="A825">
            <v>8160</v>
          </cell>
          <cell r="H825">
            <v>5.3</v>
          </cell>
        </row>
        <row r="826">
          <cell r="A826">
            <v>8170</v>
          </cell>
          <cell r="H826">
            <v>5.3</v>
          </cell>
        </row>
        <row r="827">
          <cell r="A827">
            <v>8180</v>
          </cell>
          <cell r="H827">
            <v>5.3</v>
          </cell>
        </row>
        <row r="828">
          <cell r="A828">
            <v>8190</v>
          </cell>
          <cell r="H828">
            <v>5.3</v>
          </cell>
        </row>
        <row r="829">
          <cell r="A829">
            <v>8200</v>
          </cell>
          <cell r="H829">
            <v>5.3</v>
          </cell>
        </row>
        <row r="830">
          <cell r="A830">
            <v>8210</v>
          </cell>
          <cell r="H830">
            <v>5.3</v>
          </cell>
        </row>
        <row r="831">
          <cell r="A831">
            <v>8220</v>
          </cell>
          <cell r="H831">
            <v>5.3</v>
          </cell>
        </row>
        <row r="832">
          <cell r="A832">
            <v>8230</v>
          </cell>
          <cell r="H832">
            <v>5.3</v>
          </cell>
        </row>
        <row r="833">
          <cell r="A833">
            <v>8240</v>
          </cell>
          <cell r="H833">
            <v>5.3</v>
          </cell>
        </row>
        <row r="834">
          <cell r="A834">
            <v>8250</v>
          </cell>
          <cell r="H834">
            <v>5.3</v>
          </cell>
        </row>
        <row r="835">
          <cell r="A835">
            <v>8260</v>
          </cell>
          <cell r="H835">
            <v>5.3</v>
          </cell>
        </row>
        <row r="836">
          <cell r="A836">
            <v>8270</v>
          </cell>
          <cell r="H836">
            <v>5.3</v>
          </cell>
        </row>
        <row r="837">
          <cell r="A837">
            <v>8280</v>
          </cell>
          <cell r="H837">
            <v>5.3</v>
          </cell>
        </row>
        <row r="838">
          <cell r="A838">
            <v>8290</v>
          </cell>
          <cell r="H838">
            <v>5.3</v>
          </cell>
        </row>
        <row r="839">
          <cell r="A839">
            <v>8300</v>
          </cell>
          <cell r="E839">
            <v>5.5</v>
          </cell>
          <cell r="H839">
            <v>5.3</v>
          </cell>
        </row>
        <row r="840">
          <cell r="A840">
            <v>8310</v>
          </cell>
          <cell r="H840">
            <v>5.3</v>
          </cell>
        </row>
        <row r="841">
          <cell r="A841">
            <v>8320</v>
          </cell>
          <cell r="H841">
            <v>5.3</v>
          </cell>
        </row>
        <row r="842">
          <cell r="A842">
            <v>8330</v>
          </cell>
          <cell r="H842">
            <v>5.3</v>
          </cell>
        </row>
        <row r="843">
          <cell r="A843">
            <v>8340</v>
          </cell>
          <cell r="H843">
            <v>5.3</v>
          </cell>
        </row>
        <row r="844">
          <cell r="A844">
            <v>8350</v>
          </cell>
          <cell r="H844">
            <v>5.3</v>
          </cell>
        </row>
        <row r="845">
          <cell r="A845">
            <v>8360</v>
          </cell>
          <cell r="H845">
            <v>5.3</v>
          </cell>
        </row>
        <row r="846">
          <cell r="A846">
            <v>8370</v>
          </cell>
          <cell r="H846">
            <v>5.3</v>
          </cell>
        </row>
        <row r="847">
          <cell r="A847">
            <v>8380</v>
          </cell>
          <cell r="H847">
            <v>5.3</v>
          </cell>
        </row>
        <row r="848">
          <cell r="A848">
            <v>8390</v>
          </cell>
          <cell r="H848">
            <v>5.3</v>
          </cell>
        </row>
        <row r="849">
          <cell r="A849">
            <v>8400</v>
          </cell>
          <cell r="D849">
            <v>5</v>
          </cell>
          <cell r="H849">
            <v>5.3</v>
          </cell>
        </row>
        <row r="850">
          <cell r="A850">
            <v>8410</v>
          </cell>
          <cell r="H850">
            <v>5.3</v>
          </cell>
        </row>
        <row r="851">
          <cell r="A851">
            <v>8420</v>
          </cell>
          <cell r="H851">
            <v>5.3</v>
          </cell>
        </row>
        <row r="852">
          <cell r="A852">
            <v>8430</v>
          </cell>
          <cell r="H852">
            <v>5.3</v>
          </cell>
        </row>
        <row r="853">
          <cell r="A853">
            <v>8440</v>
          </cell>
          <cell r="H853">
            <v>5.3</v>
          </cell>
        </row>
        <row r="854">
          <cell r="A854">
            <v>8450</v>
          </cell>
          <cell r="H854">
            <v>5.3</v>
          </cell>
        </row>
        <row r="855">
          <cell r="A855">
            <v>8460</v>
          </cell>
          <cell r="H855">
            <v>5.3</v>
          </cell>
        </row>
        <row r="856">
          <cell r="A856">
            <v>8470</v>
          </cell>
          <cell r="H856">
            <v>5.3</v>
          </cell>
        </row>
        <row r="857">
          <cell r="A857">
            <v>8480</v>
          </cell>
          <cell r="H857">
            <v>5.3</v>
          </cell>
        </row>
        <row r="858">
          <cell r="A858">
            <v>8490</v>
          </cell>
          <cell r="H858">
            <v>5.3</v>
          </cell>
        </row>
        <row r="859">
          <cell r="A859">
            <v>8500</v>
          </cell>
          <cell r="H859">
            <v>5.3</v>
          </cell>
        </row>
        <row r="860">
          <cell r="A860">
            <v>8510</v>
          </cell>
          <cell r="H860">
            <v>5.3</v>
          </cell>
        </row>
        <row r="861">
          <cell r="A861">
            <v>8520</v>
          </cell>
          <cell r="H861">
            <v>5.3</v>
          </cell>
        </row>
        <row r="862">
          <cell r="A862">
            <v>8530</v>
          </cell>
          <cell r="H862">
            <v>5.3</v>
          </cell>
        </row>
        <row r="863">
          <cell r="A863">
            <v>8540</v>
          </cell>
          <cell r="H863">
            <v>5.3</v>
          </cell>
        </row>
        <row r="864">
          <cell r="A864">
            <v>8550</v>
          </cell>
          <cell r="H864">
            <v>5.3</v>
          </cell>
        </row>
        <row r="865">
          <cell r="A865">
            <v>8560</v>
          </cell>
          <cell r="H865">
            <v>5.3</v>
          </cell>
        </row>
        <row r="866">
          <cell r="A866">
            <v>8570</v>
          </cell>
          <cell r="H866">
            <v>5.3</v>
          </cell>
        </row>
        <row r="867">
          <cell r="A867">
            <v>8580</v>
          </cell>
          <cell r="H867">
            <v>5.3</v>
          </cell>
        </row>
        <row r="868">
          <cell r="A868">
            <v>8590</v>
          </cell>
          <cell r="H868">
            <v>5.3</v>
          </cell>
        </row>
        <row r="869">
          <cell r="A869">
            <v>8600</v>
          </cell>
          <cell r="H869">
            <v>5.3</v>
          </cell>
        </row>
        <row r="870">
          <cell r="A870">
            <v>8610</v>
          </cell>
          <cell r="H870">
            <v>5.3</v>
          </cell>
        </row>
        <row r="871">
          <cell r="A871">
            <v>8620</v>
          </cell>
          <cell r="H871">
            <v>5.3</v>
          </cell>
        </row>
        <row r="872">
          <cell r="A872">
            <v>8630</v>
          </cell>
          <cell r="H872">
            <v>5.3</v>
          </cell>
        </row>
        <row r="873">
          <cell r="A873">
            <v>8640</v>
          </cell>
          <cell r="H873">
            <v>5.3</v>
          </cell>
        </row>
        <row r="874">
          <cell r="A874">
            <v>8650</v>
          </cell>
          <cell r="H874">
            <v>5.3</v>
          </cell>
        </row>
        <row r="875">
          <cell r="A875">
            <v>8660</v>
          </cell>
          <cell r="H875">
            <v>5.3</v>
          </cell>
        </row>
        <row r="876">
          <cell r="A876">
            <v>8670</v>
          </cell>
          <cell r="H876">
            <v>5.3</v>
          </cell>
        </row>
        <row r="877">
          <cell r="A877">
            <v>8680</v>
          </cell>
          <cell r="H877">
            <v>5.3</v>
          </cell>
        </row>
        <row r="878">
          <cell r="A878">
            <v>8690</v>
          </cell>
          <cell r="H878">
            <v>5.3</v>
          </cell>
        </row>
        <row r="879">
          <cell r="A879">
            <v>8700</v>
          </cell>
          <cell r="E879">
            <v>5</v>
          </cell>
          <cell r="H879">
            <v>5.3</v>
          </cell>
        </row>
        <row r="880">
          <cell r="A880">
            <v>8710</v>
          </cell>
          <cell r="H880">
            <v>5.3</v>
          </cell>
        </row>
        <row r="881">
          <cell r="A881">
            <v>8720</v>
          </cell>
          <cell r="H881">
            <v>5.3</v>
          </cell>
        </row>
        <row r="882">
          <cell r="A882">
            <v>8730</v>
          </cell>
          <cell r="H882">
            <v>5.3</v>
          </cell>
        </row>
        <row r="883">
          <cell r="A883">
            <v>8740</v>
          </cell>
          <cell r="H883">
            <v>5.3</v>
          </cell>
        </row>
        <row r="884">
          <cell r="A884">
            <v>8750</v>
          </cell>
          <cell r="H884">
            <v>5.3</v>
          </cell>
        </row>
        <row r="885">
          <cell r="A885">
            <v>8760</v>
          </cell>
          <cell r="H885">
            <v>5.3</v>
          </cell>
        </row>
        <row r="886">
          <cell r="A886">
            <v>8770</v>
          </cell>
          <cell r="H886">
            <v>5.3</v>
          </cell>
        </row>
        <row r="887">
          <cell r="A887">
            <v>8780</v>
          </cell>
          <cell r="H887">
            <v>5.3</v>
          </cell>
        </row>
        <row r="888">
          <cell r="A888">
            <v>8790</v>
          </cell>
          <cell r="H888">
            <v>5.3</v>
          </cell>
        </row>
        <row r="889">
          <cell r="A889">
            <v>8800</v>
          </cell>
          <cell r="H889">
            <v>5.3</v>
          </cell>
        </row>
        <row r="890">
          <cell r="A890">
            <v>8810</v>
          </cell>
          <cell r="H890">
            <v>5.3</v>
          </cell>
        </row>
        <row r="891">
          <cell r="A891">
            <v>8820</v>
          </cell>
          <cell r="H891">
            <v>5.3</v>
          </cell>
        </row>
        <row r="892">
          <cell r="A892">
            <v>8830</v>
          </cell>
          <cell r="H892">
            <v>5.3</v>
          </cell>
        </row>
        <row r="893">
          <cell r="A893">
            <v>8840</v>
          </cell>
          <cell r="H893">
            <v>5.3</v>
          </cell>
        </row>
        <row r="894">
          <cell r="A894">
            <v>8850</v>
          </cell>
          <cell r="H894">
            <v>5.3</v>
          </cell>
        </row>
        <row r="895">
          <cell r="A895">
            <v>8860</v>
          </cell>
          <cell r="H895">
            <v>5.3</v>
          </cell>
        </row>
        <row r="896">
          <cell r="A896">
            <v>8870</v>
          </cell>
          <cell r="H896">
            <v>5.3</v>
          </cell>
        </row>
        <row r="897">
          <cell r="A897">
            <v>8880</v>
          </cell>
          <cell r="H897">
            <v>5.3</v>
          </cell>
        </row>
        <row r="898">
          <cell r="A898">
            <v>8890</v>
          </cell>
          <cell r="H898">
            <v>5.3</v>
          </cell>
        </row>
        <row r="899">
          <cell r="A899">
            <v>8900</v>
          </cell>
          <cell r="H899">
            <v>5.3</v>
          </cell>
        </row>
        <row r="900">
          <cell r="A900">
            <v>8910</v>
          </cell>
          <cell r="H900">
            <v>5.3</v>
          </cell>
        </row>
        <row r="901">
          <cell r="A901">
            <v>8920</v>
          </cell>
          <cell r="H901">
            <v>5.3</v>
          </cell>
        </row>
        <row r="902">
          <cell r="A902">
            <v>8930</v>
          </cell>
          <cell r="H902">
            <v>5.3</v>
          </cell>
        </row>
        <row r="903">
          <cell r="A903">
            <v>8940</v>
          </cell>
          <cell r="H903">
            <v>5.3</v>
          </cell>
        </row>
        <row r="904">
          <cell r="A904">
            <v>8950</v>
          </cell>
          <cell r="H904">
            <v>5.3</v>
          </cell>
        </row>
        <row r="905">
          <cell r="A905">
            <v>8960</v>
          </cell>
          <cell r="H905">
            <v>5.3</v>
          </cell>
        </row>
        <row r="906">
          <cell r="A906">
            <v>8970</v>
          </cell>
          <cell r="H906">
            <v>5.3</v>
          </cell>
        </row>
        <row r="907">
          <cell r="A907">
            <v>8980</v>
          </cell>
          <cell r="H907">
            <v>5.3</v>
          </cell>
        </row>
        <row r="908">
          <cell r="A908">
            <v>8990</v>
          </cell>
          <cell r="H908">
            <v>5.3</v>
          </cell>
        </row>
        <row r="909">
          <cell r="A909">
            <v>9000</v>
          </cell>
          <cell r="H909">
            <v>5.3</v>
          </cell>
        </row>
        <row r="910">
          <cell r="A910">
            <v>9010</v>
          </cell>
          <cell r="H910">
            <v>5.3</v>
          </cell>
        </row>
        <row r="911">
          <cell r="A911">
            <v>9020</v>
          </cell>
          <cell r="H911">
            <v>5.3</v>
          </cell>
        </row>
        <row r="912">
          <cell r="A912">
            <v>9030</v>
          </cell>
          <cell r="H912">
            <v>5.3</v>
          </cell>
        </row>
        <row r="913">
          <cell r="A913">
            <v>9040</v>
          </cell>
          <cell r="H913">
            <v>5.3</v>
          </cell>
        </row>
        <row r="914">
          <cell r="A914">
            <v>9050</v>
          </cell>
          <cell r="H914">
            <v>5.3</v>
          </cell>
        </row>
        <row r="915">
          <cell r="A915">
            <v>9060</v>
          </cell>
          <cell r="H915">
            <v>5.3</v>
          </cell>
        </row>
        <row r="916">
          <cell r="A916">
            <v>9070</v>
          </cell>
          <cell r="H916">
            <v>5.3</v>
          </cell>
        </row>
        <row r="917">
          <cell r="A917">
            <v>9080</v>
          </cell>
          <cell r="H917">
            <v>5.3</v>
          </cell>
        </row>
        <row r="918">
          <cell r="A918">
            <v>9090</v>
          </cell>
          <cell r="H918">
            <v>5.3</v>
          </cell>
        </row>
        <row r="919">
          <cell r="A919">
            <v>9100</v>
          </cell>
          <cell r="G919">
            <v>6.5</v>
          </cell>
          <cell r="H919">
            <v>5.3</v>
          </cell>
        </row>
        <row r="920">
          <cell r="A920">
            <v>9110</v>
          </cell>
          <cell r="H920">
            <v>5.3</v>
          </cell>
        </row>
        <row r="921">
          <cell r="A921">
            <v>9120</v>
          </cell>
          <cell r="H921">
            <v>5.3</v>
          </cell>
        </row>
        <row r="922">
          <cell r="A922">
            <v>9130</v>
          </cell>
          <cell r="H922">
            <v>5.3</v>
          </cell>
        </row>
        <row r="923">
          <cell r="A923">
            <v>9140</v>
          </cell>
          <cell r="H923">
            <v>5.3</v>
          </cell>
        </row>
        <row r="924">
          <cell r="A924">
            <v>9150</v>
          </cell>
          <cell r="H924">
            <v>5.3</v>
          </cell>
        </row>
        <row r="925">
          <cell r="A925">
            <v>9160</v>
          </cell>
          <cell r="H925">
            <v>5.3</v>
          </cell>
        </row>
        <row r="926">
          <cell r="A926">
            <v>9170</v>
          </cell>
          <cell r="H926">
            <v>5.3</v>
          </cell>
        </row>
        <row r="927">
          <cell r="A927">
            <v>9180</v>
          </cell>
          <cell r="H927">
            <v>5.3</v>
          </cell>
        </row>
        <row r="928">
          <cell r="A928">
            <v>9190</v>
          </cell>
          <cell r="H928">
            <v>5.3</v>
          </cell>
        </row>
        <row r="929">
          <cell r="A929">
            <v>9200</v>
          </cell>
          <cell r="B929">
            <v>5.2</v>
          </cell>
          <cell r="H929">
            <v>5.3</v>
          </cell>
        </row>
        <row r="930">
          <cell r="A930">
            <v>9210</v>
          </cell>
          <cell r="H930">
            <v>5.3</v>
          </cell>
        </row>
        <row r="931">
          <cell r="A931">
            <v>9220</v>
          </cell>
          <cell r="H931">
            <v>5.3</v>
          </cell>
        </row>
        <row r="932">
          <cell r="A932">
            <v>9230</v>
          </cell>
          <cell r="H932">
            <v>5.3</v>
          </cell>
        </row>
        <row r="933">
          <cell r="A933">
            <v>9240</v>
          </cell>
          <cell r="H933">
            <v>5.3</v>
          </cell>
        </row>
        <row r="934">
          <cell r="A934">
            <v>9250</v>
          </cell>
          <cell r="H934">
            <v>5.3</v>
          </cell>
        </row>
        <row r="935">
          <cell r="A935">
            <v>9260</v>
          </cell>
          <cell r="H935">
            <v>5.3</v>
          </cell>
        </row>
        <row r="936">
          <cell r="A936">
            <v>9270</v>
          </cell>
          <cell r="H936">
            <v>5.3</v>
          </cell>
        </row>
        <row r="937">
          <cell r="A937">
            <v>9280</v>
          </cell>
          <cell r="H937">
            <v>5.3</v>
          </cell>
        </row>
        <row r="938">
          <cell r="A938">
            <v>9290</v>
          </cell>
          <cell r="H938">
            <v>5.3</v>
          </cell>
        </row>
        <row r="939">
          <cell r="A939">
            <v>9300</v>
          </cell>
          <cell r="H939">
            <v>5.3</v>
          </cell>
        </row>
        <row r="940">
          <cell r="A940">
            <v>9310</v>
          </cell>
          <cell r="H940">
            <v>5.3</v>
          </cell>
        </row>
        <row r="941">
          <cell r="A941">
            <v>9320</v>
          </cell>
          <cell r="H941">
            <v>5.3</v>
          </cell>
        </row>
        <row r="942">
          <cell r="A942">
            <v>9330</v>
          </cell>
          <cell r="H942">
            <v>5.3</v>
          </cell>
        </row>
        <row r="943">
          <cell r="A943">
            <v>9340</v>
          </cell>
          <cell r="H943">
            <v>5.3</v>
          </cell>
        </row>
        <row r="944">
          <cell r="A944">
            <v>9350</v>
          </cell>
          <cell r="H944">
            <v>5.3</v>
          </cell>
        </row>
        <row r="945">
          <cell r="A945">
            <v>9360</v>
          </cell>
          <cell r="H945">
            <v>5.3</v>
          </cell>
        </row>
        <row r="946">
          <cell r="A946">
            <v>9370</v>
          </cell>
          <cell r="H946">
            <v>5.3</v>
          </cell>
        </row>
        <row r="947">
          <cell r="A947">
            <v>9380</v>
          </cell>
          <cell r="H947">
            <v>5.3</v>
          </cell>
        </row>
        <row r="948">
          <cell r="A948">
            <v>9390</v>
          </cell>
          <cell r="H948">
            <v>5.3</v>
          </cell>
        </row>
        <row r="949">
          <cell r="A949">
            <v>9400</v>
          </cell>
          <cell r="H949">
            <v>5.3</v>
          </cell>
        </row>
        <row r="950">
          <cell r="A950">
            <v>9410</v>
          </cell>
          <cell r="H950">
            <v>5.3</v>
          </cell>
        </row>
        <row r="951">
          <cell r="A951">
            <v>9420</v>
          </cell>
          <cell r="H951">
            <v>5.3</v>
          </cell>
        </row>
        <row r="952">
          <cell r="A952">
            <v>9430</v>
          </cell>
          <cell r="H952">
            <v>5.3</v>
          </cell>
        </row>
        <row r="953">
          <cell r="A953">
            <v>9440</v>
          </cell>
          <cell r="H953">
            <v>5.3</v>
          </cell>
        </row>
        <row r="954">
          <cell r="A954">
            <v>9450</v>
          </cell>
          <cell r="H954">
            <v>5.3</v>
          </cell>
        </row>
        <row r="955">
          <cell r="A955">
            <v>9460</v>
          </cell>
          <cell r="H955">
            <v>5.3</v>
          </cell>
        </row>
        <row r="956">
          <cell r="A956">
            <v>9470</v>
          </cell>
          <cell r="H956">
            <v>5.3</v>
          </cell>
        </row>
        <row r="957">
          <cell r="A957">
            <v>9480</v>
          </cell>
          <cell r="H957">
            <v>5.3</v>
          </cell>
        </row>
        <row r="958">
          <cell r="A958">
            <v>9490</v>
          </cell>
          <cell r="H958">
            <v>5.3</v>
          </cell>
        </row>
        <row r="959">
          <cell r="A959">
            <v>9500</v>
          </cell>
          <cell r="E959">
            <v>5.5</v>
          </cell>
          <cell r="H959">
            <v>5.3</v>
          </cell>
        </row>
        <row r="960">
          <cell r="A960">
            <v>9510</v>
          </cell>
          <cell r="H960">
            <v>5.3</v>
          </cell>
        </row>
        <row r="961">
          <cell r="A961">
            <v>9520</v>
          </cell>
          <cell r="H961">
            <v>5.3</v>
          </cell>
        </row>
        <row r="962">
          <cell r="A962">
            <v>9530</v>
          </cell>
          <cell r="H962">
            <v>5.3</v>
          </cell>
        </row>
        <row r="963">
          <cell r="A963">
            <v>9540</v>
          </cell>
          <cell r="H963">
            <v>5.3</v>
          </cell>
        </row>
        <row r="964">
          <cell r="A964">
            <v>9550</v>
          </cell>
          <cell r="H964">
            <v>5.3</v>
          </cell>
        </row>
        <row r="965">
          <cell r="A965">
            <v>9560</v>
          </cell>
          <cell r="H965">
            <v>5.3</v>
          </cell>
        </row>
        <row r="966">
          <cell r="A966">
            <v>9570</v>
          </cell>
          <cell r="H966">
            <v>5.3</v>
          </cell>
        </row>
        <row r="967">
          <cell r="A967">
            <v>9580</v>
          </cell>
          <cell r="H967">
            <v>5.3</v>
          </cell>
        </row>
        <row r="968">
          <cell r="A968">
            <v>9590</v>
          </cell>
          <cell r="H968">
            <v>5.3</v>
          </cell>
        </row>
        <row r="969">
          <cell r="A969">
            <v>9600</v>
          </cell>
          <cell r="D969">
            <v>6</v>
          </cell>
          <cell r="H969">
            <v>5.3</v>
          </cell>
        </row>
        <row r="970">
          <cell r="A970">
            <v>9610</v>
          </cell>
          <cell r="H970">
            <v>5.3</v>
          </cell>
        </row>
        <row r="971">
          <cell r="A971">
            <v>9620</v>
          </cell>
          <cell r="H971">
            <v>5.3</v>
          </cell>
        </row>
        <row r="972">
          <cell r="A972">
            <v>9630</v>
          </cell>
          <cell r="H972">
            <v>5.3</v>
          </cell>
        </row>
        <row r="973">
          <cell r="A973">
            <v>9640</v>
          </cell>
          <cell r="H973">
            <v>5.3</v>
          </cell>
        </row>
        <row r="974">
          <cell r="A974">
            <v>9650</v>
          </cell>
          <cell r="H974">
            <v>5.3</v>
          </cell>
        </row>
        <row r="975">
          <cell r="A975">
            <v>9660</v>
          </cell>
          <cell r="H975">
            <v>5.3</v>
          </cell>
        </row>
        <row r="976">
          <cell r="A976">
            <v>9670</v>
          </cell>
          <cell r="H976">
            <v>5.3</v>
          </cell>
        </row>
        <row r="977">
          <cell r="A977">
            <v>9680</v>
          </cell>
          <cell r="H977">
            <v>5.3</v>
          </cell>
        </row>
        <row r="978">
          <cell r="A978">
            <v>9690</v>
          </cell>
          <cell r="H978">
            <v>5.3</v>
          </cell>
        </row>
        <row r="979">
          <cell r="A979">
            <v>9700</v>
          </cell>
          <cell r="H979">
            <v>5.3</v>
          </cell>
        </row>
        <row r="980">
          <cell r="A980">
            <v>9710</v>
          </cell>
          <cell r="H980">
            <v>5.3</v>
          </cell>
        </row>
        <row r="981">
          <cell r="A981">
            <v>9720</v>
          </cell>
          <cell r="H981">
            <v>5.3</v>
          </cell>
        </row>
        <row r="982">
          <cell r="A982">
            <v>9730</v>
          </cell>
          <cell r="H982">
            <v>5.3</v>
          </cell>
        </row>
        <row r="983">
          <cell r="A983">
            <v>9740</v>
          </cell>
          <cell r="H983">
            <v>5.3</v>
          </cell>
        </row>
        <row r="984">
          <cell r="A984">
            <v>9750</v>
          </cell>
          <cell r="H984">
            <v>5.3</v>
          </cell>
        </row>
        <row r="985">
          <cell r="A985">
            <v>9760</v>
          </cell>
          <cell r="H985">
            <v>5.3</v>
          </cell>
        </row>
        <row r="986">
          <cell r="A986">
            <v>9770</v>
          </cell>
          <cell r="H986">
            <v>5.3</v>
          </cell>
        </row>
        <row r="987">
          <cell r="A987">
            <v>9780</v>
          </cell>
          <cell r="H987">
            <v>5.3</v>
          </cell>
        </row>
        <row r="988">
          <cell r="A988">
            <v>9790</v>
          </cell>
          <cell r="H988">
            <v>5.3</v>
          </cell>
        </row>
        <row r="989">
          <cell r="A989">
            <v>9800</v>
          </cell>
          <cell r="H989">
            <v>5.3</v>
          </cell>
        </row>
        <row r="990">
          <cell r="A990">
            <v>9810</v>
          </cell>
          <cell r="H990">
            <v>5.3</v>
          </cell>
        </row>
        <row r="991">
          <cell r="A991">
            <v>9820</v>
          </cell>
          <cell r="H991">
            <v>5.3</v>
          </cell>
        </row>
        <row r="992">
          <cell r="A992">
            <v>9830</v>
          </cell>
          <cell r="H992">
            <v>5.3</v>
          </cell>
        </row>
        <row r="993">
          <cell r="A993">
            <v>9840</v>
          </cell>
          <cell r="H993">
            <v>5.3</v>
          </cell>
        </row>
        <row r="994">
          <cell r="A994">
            <v>9850</v>
          </cell>
          <cell r="H994">
            <v>5.3</v>
          </cell>
        </row>
        <row r="995">
          <cell r="A995">
            <v>9860</v>
          </cell>
          <cell r="H995">
            <v>5.3</v>
          </cell>
        </row>
        <row r="996">
          <cell r="A996">
            <v>9870</v>
          </cell>
          <cell r="H996">
            <v>5.3</v>
          </cell>
        </row>
        <row r="997">
          <cell r="A997">
            <v>9880</v>
          </cell>
          <cell r="H997">
            <v>5.3</v>
          </cell>
        </row>
        <row r="998">
          <cell r="A998">
            <v>9890</v>
          </cell>
          <cell r="H998">
            <v>5.3</v>
          </cell>
        </row>
        <row r="999">
          <cell r="A999">
            <v>9900</v>
          </cell>
          <cell r="G999">
            <v>5</v>
          </cell>
          <cell r="H999">
            <v>5.3</v>
          </cell>
        </row>
        <row r="1000">
          <cell r="A1000">
            <v>9910</v>
          </cell>
          <cell r="H1000">
            <v>5.3</v>
          </cell>
        </row>
        <row r="1001">
          <cell r="A1001">
            <v>9920</v>
          </cell>
          <cell r="H1001">
            <v>5.3</v>
          </cell>
        </row>
        <row r="1002">
          <cell r="A1002">
            <v>9930</v>
          </cell>
          <cell r="H1002">
            <v>5.3</v>
          </cell>
        </row>
        <row r="1003">
          <cell r="A1003">
            <v>9940</v>
          </cell>
          <cell r="H1003">
            <v>5.3</v>
          </cell>
        </row>
        <row r="1004">
          <cell r="A1004">
            <v>9950</v>
          </cell>
          <cell r="H1004">
            <v>5.3</v>
          </cell>
        </row>
        <row r="1005">
          <cell r="A1005">
            <v>9960</v>
          </cell>
          <cell r="H1005">
            <v>5.3</v>
          </cell>
        </row>
        <row r="1006">
          <cell r="A1006">
            <v>9970</v>
          </cell>
          <cell r="H1006">
            <v>5.3</v>
          </cell>
        </row>
        <row r="1007">
          <cell r="A1007">
            <v>9980</v>
          </cell>
          <cell r="H1007">
            <v>5.3</v>
          </cell>
        </row>
        <row r="1008">
          <cell r="A1008">
            <v>9990</v>
          </cell>
          <cell r="H1008">
            <v>5.3</v>
          </cell>
        </row>
        <row r="1009">
          <cell r="A1009">
            <v>10000</v>
          </cell>
          <cell r="B1009">
            <v>6</v>
          </cell>
          <cell r="H1009">
            <v>5.3</v>
          </cell>
        </row>
        <row r="1010">
          <cell r="A1010">
            <v>10010</v>
          </cell>
          <cell r="H1010">
            <v>5.3</v>
          </cell>
        </row>
        <row r="1011">
          <cell r="A1011">
            <v>10020</v>
          </cell>
          <cell r="H1011">
            <v>5.3</v>
          </cell>
        </row>
        <row r="1012">
          <cell r="A1012">
            <v>10030</v>
          </cell>
          <cell r="H1012">
            <v>5.3</v>
          </cell>
        </row>
        <row r="1013">
          <cell r="A1013">
            <v>10040</v>
          </cell>
          <cell r="H1013">
            <v>5.3</v>
          </cell>
        </row>
        <row r="1014">
          <cell r="A1014">
            <v>10050</v>
          </cell>
          <cell r="H1014">
            <v>5.3</v>
          </cell>
        </row>
        <row r="1015">
          <cell r="A1015">
            <v>10060</v>
          </cell>
          <cell r="H1015">
            <v>5.3</v>
          </cell>
        </row>
        <row r="1016">
          <cell r="A1016">
            <v>10070</v>
          </cell>
          <cell r="H1016">
            <v>5.3</v>
          </cell>
        </row>
        <row r="1017">
          <cell r="A1017">
            <v>10080</v>
          </cell>
          <cell r="H1017">
            <v>5.3</v>
          </cell>
        </row>
        <row r="1018">
          <cell r="A1018">
            <v>10090</v>
          </cell>
          <cell r="H1018">
            <v>5.3</v>
          </cell>
        </row>
        <row r="1019">
          <cell r="A1019">
            <v>10100</v>
          </cell>
          <cell r="H1019">
            <v>5.3</v>
          </cell>
        </row>
        <row r="1020">
          <cell r="A1020">
            <v>10110</v>
          </cell>
          <cell r="H1020">
            <v>5.3</v>
          </cell>
        </row>
        <row r="1021">
          <cell r="A1021">
            <v>10120</v>
          </cell>
          <cell r="H1021">
            <v>5.3</v>
          </cell>
        </row>
        <row r="1022">
          <cell r="A1022">
            <v>10130</v>
          </cell>
          <cell r="H1022">
            <v>5.3</v>
          </cell>
        </row>
        <row r="1023">
          <cell r="A1023">
            <v>10140</v>
          </cell>
          <cell r="H1023">
            <v>5.3</v>
          </cell>
        </row>
        <row r="1024">
          <cell r="A1024">
            <v>10150</v>
          </cell>
          <cell r="H1024">
            <v>5.3</v>
          </cell>
        </row>
        <row r="1025">
          <cell r="A1025">
            <v>10160</v>
          </cell>
          <cell r="H1025">
            <v>5.3</v>
          </cell>
        </row>
        <row r="1026">
          <cell r="A1026">
            <v>10170</v>
          </cell>
          <cell r="H1026">
            <v>5.3</v>
          </cell>
        </row>
        <row r="1027">
          <cell r="A1027">
            <v>10180</v>
          </cell>
          <cell r="H1027">
            <v>5.3</v>
          </cell>
        </row>
        <row r="1028">
          <cell r="A1028">
            <v>10190</v>
          </cell>
          <cell r="H1028">
            <v>5.3</v>
          </cell>
        </row>
        <row r="1029">
          <cell r="A1029">
            <v>10200</v>
          </cell>
          <cell r="H1029">
            <v>5.3</v>
          </cell>
        </row>
        <row r="1030">
          <cell r="A1030">
            <v>10210</v>
          </cell>
          <cell r="H1030">
            <v>5.3</v>
          </cell>
        </row>
        <row r="1031">
          <cell r="A1031">
            <v>10220</v>
          </cell>
          <cell r="H1031">
            <v>5.3</v>
          </cell>
        </row>
        <row r="1032">
          <cell r="A1032">
            <v>10230</v>
          </cell>
          <cell r="H1032">
            <v>5.3</v>
          </cell>
        </row>
        <row r="1033">
          <cell r="A1033">
            <v>10240</v>
          </cell>
          <cell r="H1033">
            <v>5.3</v>
          </cell>
        </row>
        <row r="1034">
          <cell r="A1034">
            <v>10250</v>
          </cell>
          <cell r="H1034">
            <v>5.3</v>
          </cell>
        </row>
        <row r="1035">
          <cell r="A1035">
            <v>10260</v>
          </cell>
          <cell r="H1035">
            <v>5.3</v>
          </cell>
        </row>
        <row r="1036">
          <cell r="A1036">
            <v>10270</v>
          </cell>
          <cell r="H1036">
            <v>5.3</v>
          </cell>
        </row>
        <row r="1037">
          <cell r="A1037">
            <v>10280</v>
          </cell>
          <cell r="H1037">
            <v>5.3</v>
          </cell>
        </row>
        <row r="1038">
          <cell r="A1038">
            <v>10290</v>
          </cell>
          <cell r="H1038">
            <v>5.3</v>
          </cell>
        </row>
        <row r="1039">
          <cell r="A1039">
            <v>10300</v>
          </cell>
          <cell r="H1039">
            <v>5.3</v>
          </cell>
        </row>
        <row r="1040">
          <cell r="A1040">
            <v>10310</v>
          </cell>
          <cell r="H1040">
            <v>5.3</v>
          </cell>
        </row>
        <row r="1041">
          <cell r="A1041">
            <v>10320</v>
          </cell>
          <cell r="H1041">
            <v>5.3</v>
          </cell>
        </row>
        <row r="1042">
          <cell r="A1042">
            <v>10330</v>
          </cell>
          <cell r="H1042">
            <v>5.3</v>
          </cell>
        </row>
        <row r="1043">
          <cell r="A1043">
            <v>10340</v>
          </cell>
          <cell r="H1043">
            <v>5.3</v>
          </cell>
        </row>
        <row r="1044">
          <cell r="A1044">
            <v>10350</v>
          </cell>
          <cell r="H1044">
            <v>5.3</v>
          </cell>
        </row>
        <row r="1045">
          <cell r="A1045">
            <v>10360</v>
          </cell>
          <cell r="H1045">
            <v>5.3</v>
          </cell>
        </row>
        <row r="1046">
          <cell r="A1046">
            <v>10370</v>
          </cell>
          <cell r="H1046">
            <v>5.3</v>
          </cell>
        </row>
        <row r="1047">
          <cell r="A1047">
            <v>10380</v>
          </cell>
          <cell r="H1047">
            <v>5.3</v>
          </cell>
        </row>
        <row r="1048">
          <cell r="A1048">
            <v>10390</v>
          </cell>
          <cell r="H1048">
            <v>5.3</v>
          </cell>
        </row>
        <row r="1049">
          <cell r="A1049">
            <v>10400</v>
          </cell>
          <cell r="E1049">
            <v>5.5</v>
          </cell>
          <cell r="H1049">
            <v>5.3</v>
          </cell>
        </row>
        <row r="1050">
          <cell r="A1050">
            <v>10410</v>
          </cell>
          <cell r="H1050">
            <v>5.3</v>
          </cell>
        </row>
        <row r="1051">
          <cell r="A1051">
            <v>10420</v>
          </cell>
          <cell r="H1051">
            <v>5.3</v>
          </cell>
        </row>
        <row r="1052">
          <cell r="A1052">
            <v>10430</v>
          </cell>
          <cell r="H1052">
            <v>5.3</v>
          </cell>
        </row>
        <row r="1053">
          <cell r="A1053">
            <v>10440</v>
          </cell>
          <cell r="H1053">
            <v>5.3</v>
          </cell>
        </row>
        <row r="1054">
          <cell r="A1054">
            <v>10450</v>
          </cell>
          <cell r="H1054">
            <v>5.3</v>
          </cell>
        </row>
        <row r="1055">
          <cell r="A1055">
            <v>10460</v>
          </cell>
          <cell r="B1055" t="str">
            <v>.</v>
          </cell>
          <cell r="H1055">
            <v>5.3</v>
          </cell>
        </row>
        <row r="1056">
          <cell r="A1056">
            <v>10470</v>
          </cell>
          <cell r="H1056">
            <v>5.3</v>
          </cell>
        </row>
        <row r="1057">
          <cell r="A1057">
            <v>10480</v>
          </cell>
          <cell r="H1057">
            <v>5.3</v>
          </cell>
        </row>
        <row r="1058">
          <cell r="A1058">
            <v>10490</v>
          </cell>
          <cell r="H1058">
            <v>5.3</v>
          </cell>
        </row>
        <row r="1059">
          <cell r="A1059">
            <v>10500</v>
          </cell>
          <cell r="B1059">
            <v>6</v>
          </cell>
          <cell r="H1059">
            <v>5.3</v>
          </cell>
        </row>
        <row r="1060">
          <cell r="A1060">
            <v>10510</v>
          </cell>
          <cell r="H1060">
            <v>5.3</v>
          </cell>
        </row>
        <row r="1061">
          <cell r="A1061">
            <v>10520</v>
          </cell>
          <cell r="H1061">
            <v>5.3</v>
          </cell>
        </row>
        <row r="1062">
          <cell r="A1062">
            <v>10530</v>
          </cell>
          <cell r="H1062">
            <v>5.3</v>
          </cell>
        </row>
        <row r="1063">
          <cell r="A1063">
            <v>10540</v>
          </cell>
          <cell r="H1063">
            <v>5.3</v>
          </cell>
        </row>
        <row r="1064">
          <cell r="A1064">
            <v>10550</v>
          </cell>
          <cell r="H1064">
            <v>5.3</v>
          </cell>
        </row>
        <row r="1065">
          <cell r="A1065">
            <v>10560</v>
          </cell>
          <cell r="H1065">
            <v>5.3</v>
          </cell>
        </row>
        <row r="1066">
          <cell r="A1066">
            <v>10570</v>
          </cell>
          <cell r="H1066">
            <v>5.3</v>
          </cell>
        </row>
        <row r="1067">
          <cell r="A1067">
            <v>10580</v>
          </cell>
          <cell r="H1067">
            <v>5.3</v>
          </cell>
        </row>
        <row r="1068">
          <cell r="A1068">
            <v>10590</v>
          </cell>
          <cell r="H1068">
            <v>5.3</v>
          </cell>
        </row>
        <row r="1069">
          <cell r="A1069">
            <v>10600</v>
          </cell>
          <cell r="H1069">
            <v>5.3</v>
          </cell>
        </row>
        <row r="1070">
          <cell r="A1070">
            <v>10610</v>
          </cell>
          <cell r="H1070">
            <v>5.3</v>
          </cell>
        </row>
        <row r="1071">
          <cell r="A1071">
            <v>10620</v>
          </cell>
          <cell r="H1071">
            <v>5.3</v>
          </cell>
        </row>
        <row r="1072">
          <cell r="A1072">
            <v>10630</v>
          </cell>
          <cell r="H1072">
            <v>5.3</v>
          </cell>
        </row>
        <row r="1073">
          <cell r="A1073">
            <v>10640</v>
          </cell>
          <cell r="H1073">
            <v>5.3</v>
          </cell>
        </row>
        <row r="1074">
          <cell r="A1074">
            <v>10650</v>
          </cell>
          <cell r="H1074">
            <v>5.3</v>
          </cell>
        </row>
        <row r="1075">
          <cell r="A1075">
            <v>10660</v>
          </cell>
          <cell r="H1075">
            <v>5.3</v>
          </cell>
        </row>
        <row r="1076">
          <cell r="A1076">
            <v>10670</v>
          </cell>
          <cell r="H1076">
            <v>5.3</v>
          </cell>
        </row>
        <row r="1077">
          <cell r="A1077">
            <v>10680</v>
          </cell>
          <cell r="H1077">
            <v>5.3</v>
          </cell>
        </row>
        <row r="1078">
          <cell r="A1078">
            <v>10690</v>
          </cell>
          <cell r="H1078">
            <v>5.3</v>
          </cell>
        </row>
        <row r="1079">
          <cell r="A1079">
            <v>10700</v>
          </cell>
          <cell r="H1079">
            <v>5.3</v>
          </cell>
        </row>
        <row r="1080">
          <cell r="A1080">
            <v>10710</v>
          </cell>
          <cell r="H1080">
            <v>5.3</v>
          </cell>
        </row>
        <row r="1081">
          <cell r="A1081">
            <v>10720</v>
          </cell>
          <cell r="H1081">
            <v>5.3</v>
          </cell>
        </row>
        <row r="1082">
          <cell r="A1082">
            <v>10730</v>
          </cell>
          <cell r="H1082">
            <v>5.3</v>
          </cell>
        </row>
        <row r="1083">
          <cell r="A1083">
            <v>10740</v>
          </cell>
          <cell r="H1083">
            <v>5.3</v>
          </cell>
        </row>
        <row r="1084">
          <cell r="A1084">
            <v>10750</v>
          </cell>
          <cell r="H1084">
            <v>5.3</v>
          </cell>
        </row>
        <row r="1085">
          <cell r="A1085">
            <v>10760</v>
          </cell>
          <cell r="H1085">
            <v>5.3</v>
          </cell>
        </row>
        <row r="1086">
          <cell r="A1086">
            <v>10770</v>
          </cell>
          <cell r="H1086">
            <v>5.3</v>
          </cell>
        </row>
        <row r="1087">
          <cell r="A1087">
            <v>10780</v>
          </cell>
          <cell r="H1087">
            <v>5.3</v>
          </cell>
        </row>
        <row r="1088">
          <cell r="A1088">
            <v>10790</v>
          </cell>
          <cell r="H1088">
            <v>5.3</v>
          </cell>
        </row>
        <row r="1089">
          <cell r="A1089">
            <v>10800</v>
          </cell>
          <cell r="H1089">
            <v>5.3</v>
          </cell>
        </row>
        <row r="1090">
          <cell r="A1090">
            <v>10810</v>
          </cell>
          <cell r="H1090">
            <v>5.3</v>
          </cell>
        </row>
        <row r="1091">
          <cell r="A1091">
            <v>10820</v>
          </cell>
          <cell r="H1091">
            <v>5.3</v>
          </cell>
        </row>
        <row r="1092">
          <cell r="A1092">
            <v>10830</v>
          </cell>
          <cell r="H1092">
            <v>5.3</v>
          </cell>
        </row>
        <row r="1093">
          <cell r="A1093">
            <v>10840</v>
          </cell>
          <cell r="H1093">
            <v>5.3</v>
          </cell>
        </row>
        <row r="1094">
          <cell r="A1094">
            <v>10850</v>
          </cell>
          <cell r="H1094">
            <v>5.3</v>
          </cell>
        </row>
        <row r="1095">
          <cell r="A1095">
            <v>10860</v>
          </cell>
          <cell r="H1095">
            <v>5.3</v>
          </cell>
        </row>
        <row r="1096">
          <cell r="A1096">
            <v>10870</v>
          </cell>
          <cell r="H1096">
            <v>5.3</v>
          </cell>
        </row>
        <row r="1097">
          <cell r="A1097">
            <v>10880</v>
          </cell>
          <cell r="H1097">
            <v>5.3</v>
          </cell>
        </row>
        <row r="1098">
          <cell r="A1098">
            <v>10890</v>
          </cell>
          <cell r="H1098">
            <v>5.3</v>
          </cell>
        </row>
        <row r="1099">
          <cell r="A1099">
            <v>10900</v>
          </cell>
          <cell r="H1099">
            <v>5.3</v>
          </cell>
        </row>
        <row r="1100">
          <cell r="A1100">
            <v>10910</v>
          </cell>
          <cell r="H1100">
            <v>5.3</v>
          </cell>
        </row>
        <row r="1101">
          <cell r="A1101">
            <v>10920</v>
          </cell>
          <cell r="H1101">
            <v>5.3</v>
          </cell>
        </row>
        <row r="1102">
          <cell r="A1102">
            <v>10930</v>
          </cell>
          <cell r="H1102">
            <v>5.3</v>
          </cell>
        </row>
        <row r="1103">
          <cell r="A1103">
            <v>10940</v>
          </cell>
          <cell r="H1103">
            <v>5.3</v>
          </cell>
        </row>
        <row r="1104">
          <cell r="A1104">
            <v>10950</v>
          </cell>
          <cell r="H1104">
            <v>5.3</v>
          </cell>
        </row>
        <row r="1105">
          <cell r="A1105">
            <v>10960</v>
          </cell>
          <cell r="H1105">
            <v>5.3</v>
          </cell>
        </row>
        <row r="1106">
          <cell r="A1106">
            <v>10970</v>
          </cell>
          <cell r="H1106">
            <v>5.3</v>
          </cell>
        </row>
        <row r="1107">
          <cell r="A1107">
            <v>10980</v>
          </cell>
          <cell r="H1107">
            <v>5.3</v>
          </cell>
        </row>
        <row r="1108">
          <cell r="A1108">
            <v>10990</v>
          </cell>
          <cell r="H1108">
            <v>5.3</v>
          </cell>
        </row>
        <row r="1109">
          <cell r="A1109">
            <v>11000</v>
          </cell>
          <cell r="H1109">
            <v>5.3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ción"/>
      <sheetName val="Remanente"/>
      <sheetName val="Caras Fract."/>
      <sheetName val="PE - Picnómetro"/>
      <sheetName val="Inflam-Penet"/>
      <sheetName val="Sulfato Na"/>
      <sheetName val="Eq. Arena"/>
      <sheetName val="PE Fino"/>
      <sheetName val="PE Grueso"/>
      <sheetName val="Gran. 1&quot;"/>
      <sheetName val="Gran. 3-4&quot;"/>
      <sheetName val="Gran. 3-8&quot;"/>
      <sheetName val="Gran. Nº 8"/>
      <sheetName val="Composición"/>
      <sheetName val="Gráfico"/>
      <sheetName val="Viscosidad &amp; Temp."/>
      <sheetName val="Marshall"/>
      <sheetName val="Gráficos"/>
      <sheetName val="Factor"/>
      <sheetName val="Cápsulas"/>
      <sheetName val="GRANU ARENA"/>
    </sheetNames>
    <sheetDataSet>
      <sheetData sheetId="0" refreshError="1"/>
      <sheetData sheetId="1" refreshError="1"/>
      <sheetData sheetId="2" refreshError="1"/>
      <sheetData sheetId="3" refreshError="1">
        <row r="33">
          <cell r="H33">
            <v>0.999</v>
          </cell>
        </row>
      </sheetData>
      <sheetData sheetId="4" refreshError="1">
        <row r="25">
          <cell r="F25">
            <v>265</v>
          </cell>
        </row>
        <row r="37">
          <cell r="J37">
            <v>64.25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34">
          <cell r="F34">
            <v>1100.5999999999999</v>
          </cell>
        </row>
      </sheetData>
      <sheetData sheetId="13" refreshError="1"/>
      <sheetData sheetId="14" refreshError="1"/>
      <sheetData sheetId="15" refreshError="1"/>
      <sheetData sheetId="16" refreshError="1">
        <row r="17">
          <cell r="U17">
            <v>4.5</v>
          </cell>
          <cell r="V17">
            <v>6.94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nulometria1000"/>
      <sheetName val="granulometria1000.xls"/>
    </sheetNames>
    <definedNames>
      <definedName name="borrado"/>
    </definedNames>
    <sheetDataSet>
      <sheetData sheetId="0" refreshError="1"/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Hoja0"/>
      <sheetName val="granulometria1000"/>
      <sheetName val="\WINDOWS\Escritorio\LABORATORIO"/>
      <sheetName val="granulometria1000.xls"/>
    </sheetNames>
    <definedNames>
      <definedName name="borrad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 1"/>
      <sheetName val="Proctor 2"/>
      <sheetName val="Proctor 3"/>
      <sheetName val="Proctor 4"/>
      <sheetName val="Proctor 5"/>
      <sheetName val="Proctor 6"/>
    </sheetNames>
    <sheetDataSet>
      <sheetData sheetId="0">
        <row r="21">
          <cell r="E21">
            <v>2068</v>
          </cell>
          <cell r="I21">
            <v>6450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 1"/>
      <sheetName val="Proctor 2"/>
      <sheetName val="Proctor 3"/>
      <sheetName val="Proctor 4"/>
      <sheetName val="Proctor 5"/>
      <sheetName val="Proctor 6"/>
    </sheetNames>
    <sheetDataSet>
      <sheetData sheetId="0">
        <row r="21">
          <cell r="E21">
            <v>2068</v>
          </cell>
          <cell r="I21">
            <v>6450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PERSONAL"/>
    </sheetNames>
    <definedNames>
      <definedName name="Cilindros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94E22-586F-4B2D-B556-A2BC9B827FE1}">
  <sheetPr codeName="Hoja1">
    <tabColor rgb="FFC00000"/>
  </sheetPr>
  <dimension ref="A1:T40"/>
  <sheetViews>
    <sheetView topLeftCell="A8" zoomScaleNormal="100" workbookViewId="0">
      <selection activeCell="R21" sqref="R21"/>
    </sheetView>
  </sheetViews>
  <sheetFormatPr baseColWidth="10" defaultRowHeight="15" x14ac:dyDescent="0.25"/>
  <cols>
    <col min="1" max="1" width="1.5703125" customWidth="1"/>
    <col min="2" max="2" width="18.7109375" customWidth="1"/>
    <col min="3" max="3" width="11.85546875" customWidth="1"/>
    <col min="4" max="4" width="10.28515625" customWidth="1"/>
    <col min="5" max="5" width="15.7109375" customWidth="1"/>
    <col min="6" max="6" width="4.5703125" customWidth="1"/>
    <col min="7" max="7" width="22" customWidth="1"/>
    <col min="8" max="8" width="21.140625" customWidth="1"/>
    <col min="9" max="9" width="13.5703125" customWidth="1"/>
    <col min="10" max="10" width="14" customWidth="1"/>
    <col min="11" max="11" width="0.5703125" customWidth="1"/>
    <col min="15" max="15" width="11" customWidth="1"/>
    <col min="258" max="258" width="1.5703125" customWidth="1"/>
    <col min="259" max="259" width="18.5703125" customWidth="1"/>
    <col min="260" max="260" width="11.85546875" customWidth="1"/>
    <col min="261" max="261" width="14.140625" customWidth="1"/>
    <col min="262" max="262" width="13.5703125" customWidth="1"/>
    <col min="263" max="263" width="15.5703125" customWidth="1"/>
    <col min="264" max="264" width="15.42578125" customWidth="1"/>
    <col min="265" max="266" width="17.7109375" customWidth="1"/>
    <col min="267" max="267" width="2.7109375" customWidth="1"/>
    <col min="514" max="514" width="1.5703125" customWidth="1"/>
    <col min="515" max="515" width="18.5703125" customWidth="1"/>
    <col min="516" max="516" width="11.85546875" customWidth="1"/>
    <col min="517" max="517" width="14.140625" customWidth="1"/>
    <col min="518" max="518" width="13.5703125" customWidth="1"/>
    <col min="519" max="519" width="15.5703125" customWidth="1"/>
    <col min="520" max="520" width="15.42578125" customWidth="1"/>
    <col min="521" max="522" width="17.7109375" customWidth="1"/>
    <col min="523" max="523" width="2.7109375" customWidth="1"/>
    <col min="770" max="770" width="1.5703125" customWidth="1"/>
    <col min="771" max="771" width="18.5703125" customWidth="1"/>
    <col min="772" max="772" width="11.85546875" customWidth="1"/>
    <col min="773" max="773" width="14.140625" customWidth="1"/>
    <col min="774" max="774" width="13.5703125" customWidth="1"/>
    <col min="775" max="775" width="15.5703125" customWidth="1"/>
    <col min="776" max="776" width="15.42578125" customWidth="1"/>
    <col min="777" max="778" width="17.7109375" customWidth="1"/>
    <col min="779" max="779" width="2.7109375" customWidth="1"/>
    <col min="1026" max="1026" width="1.5703125" customWidth="1"/>
    <col min="1027" max="1027" width="18.5703125" customWidth="1"/>
    <col min="1028" max="1028" width="11.85546875" customWidth="1"/>
    <col min="1029" max="1029" width="14.140625" customWidth="1"/>
    <col min="1030" max="1030" width="13.5703125" customWidth="1"/>
    <col min="1031" max="1031" width="15.5703125" customWidth="1"/>
    <col min="1032" max="1032" width="15.42578125" customWidth="1"/>
    <col min="1033" max="1034" width="17.7109375" customWidth="1"/>
    <col min="1035" max="1035" width="2.7109375" customWidth="1"/>
    <col min="1282" max="1282" width="1.5703125" customWidth="1"/>
    <col min="1283" max="1283" width="18.5703125" customWidth="1"/>
    <col min="1284" max="1284" width="11.85546875" customWidth="1"/>
    <col min="1285" max="1285" width="14.140625" customWidth="1"/>
    <col min="1286" max="1286" width="13.5703125" customWidth="1"/>
    <col min="1287" max="1287" width="15.5703125" customWidth="1"/>
    <col min="1288" max="1288" width="15.42578125" customWidth="1"/>
    <col min="1289" max="1290" width="17.7109375" customWidth="1"/>
    <col min="1291" max="1291" width="2.7109375" customWidth="1"/>
    <col min="1538" max="1538" width="1.5703125" customWidth="1"/>
    <col min="1539" max="1539" width="18.5703125" customWidth="1"/>
    <col min="1540" max="1540" width="11.85546875" customWidth="1"/>
    <col min="1541" max="1541" width="14.140625" customWidth="1"/>
    <col min="1542" max="1542" width="13.5703125" customWidth="1"/>
    <col min="1543" max="1543" width="15.5703125" customWidth="1"/>
    <col min="1544" max="1544" width="15.42578125" customWidth="1"/>
    <col min="1545" max="1546" width="17.7109375" customWidth="1"/>
    <col min="1547" max="1547" width="2.7109375" customWidth="1"/>
    <col min="1794" max="1794" width="1.5703125" customWidth="1"/>
    <col min="1795" max="1795" width="18.5703125" customWidth="1"/>
    <col min="1796" max="1796" width="11.85546875" customWidth="1"/>
    <col min="1797" max="1797" width="14.140625" customWidth="1"/>
    <col min="1798" max="1798" width="13.5703125" customWidth="1"/>
    <col min="1799" max="1799" width="15.5703125" customWidth="1"/>
    <col min="1800" max="1800" width="15.42578125" customWidth="1"/>
    <col min="1801" max="1802" width="17.7109375" customWidth="1"/>
    <col min="1803" max="1803" width="2.7109375" customWidth="1"/>
    <col min="2050" max="2050" width="1.5703125" customWidth="1"/>
    <col min="2051" max="2051" width="18.5703125" customWidth="1"/>
    <col min="2052" max="2052" width="11.85546875" customWidth="1"/>
    <col min="2053" max="2053" width="14.140625" customWidth="1"/>
    <col min="2054" max="2054" width="13.5703125" customWidth="1"/>
    <col min="2055" max="2055" width="15.5703125" customWidth="1"/>
    <col min="2056" max="2056" width="15.42578125" customWidth="1"/>
    <col min="2057" max="2058" width="17.7109375" customWidth="1"/>
    <col min="2059" max="2059" width="2.7109375" customWidth="1"/>
    <col min="2306" max="2306" width="1.5703125" customWidth="1"/>
    <col min="2307" max="2307" width="18.5703125" customWidth="1"/>
    <col min="2308" max="2308" width="11.85546875" customWidth="1"/>
    <col min="2309" max="2309" width="14.140625" customWidth="1"/>
    <col min="2310" max="2310" width="13.5703125" customWidth="1"/>
    <col min="2311" max="2311" width="15.5703125" customWidth="1"/>
    <col min="2312" max="2312" width="15.42578125" customWidth="1"/>
    <col min="2313" max="2314" width="17.7109375" customWidth="1"/>
    <col min="2315" max="2315" width="2.7109375" customWidth="1"/>
    <col min="2562" max="2562" width="1.5703125" customWidth="1"/>
    <col min="2563" max="2563" width="18.5703125" customWidth="1"/>
    <col min="2564" max="2564" width="11.85546875" customWidth="1"/>
    <col min="2565" max="2565" width="14.140625" customWidth="1"/>
    <col min="2566" max="2566" width="13.5703125" customWidth="1"/>
    <col min="2567" max="2567" width="15.5703125" customWidth="1"/>
    <col min="2568" max="2568" width="15.42578125" customWidth="1"/>
    <col min="2569" max="2570" width="17.7109375" customWidth="1"/>
    <col min="2571" max="2571" width="2.7109375" customWidth="1"/>
    <col min="2818" max="2818" width="1.5703125" customWidth="1"/>
    <col min="2819" max="2819" width="18.5703125" customWidth="1"/>
    <col min="2820" max="2820" width="11.85546875" customWidth="1"/>
    <col min="2821" max="2821" width="14.140625" customWidth="1"/>
    <col min="2822" max="2822" width="13.5703125" customWidth="1"/>
    <col min="2823" max="2823" width="15.5703125" customWidth="1"/>
    <col min="2824" max="2824" width="15.42578125" customWidth="1"/>
    <col min="2825" max="2826" width="17.7109375" customWidth="1"/>
    <col min="2827" max="2827" width="2.7109375" customWidth="1"/>
    <col min="3074" max="3074" width="1.5703125" customWidth="1"/>
    <col min="3075" max="3075" width="18.5703125" customWidth="1"/>
    <col min="3076" max="3076" width="11.85546875" customWidth="1"/>
    <col min="3077" max="3077" width="14.140625" customWidth="1"/>
    <col min="3078" max="3078" width="13.5703125" customWidth="1"/>
    <col min="3079" max="3079" width="15.5703125" customWidth="1"/>
    <col min="3080" max="3080" width="15.42578125" customWidth="1"/>
    <col min="3081" max="3082" width="17.7109375" customWidth="1"/>
    <col min="3083" max="3083" width="2.7109375" customWidth="1"/>
    <col min="3330" max="3330" width="1.5703125" customWidth="1"/>
    <col min="3331" max="3331" width="18.5703125" customWidth="1"/>
    <col min="3332" max="3332" width="11.85546875" customWidth="1"/>
    <col min="3333" max="3333" width="14.140625" customWidth="1"/>
    <col min="3334" max="3334" width="13.5703125" customWidth="1"/>
    <col min="3335" max="3335" width="15.5703125" customWidth="1"/>
    <col min="3336" max="3336" width="15.42578125" customWidth="1"/>
    <col min="3337" max="3338" width="17.7109375" customWidth="1"/>
    <col min="3339" max="3339" width="2.7109375" customWidth="1"/>
    <col min="3586" max="3586" width="1.5703125" customWidth="1"/>
    <col min="3587" max="3587" width="18.5703125" customWidth="1"/>
    <col min="3588" max="3588" width="11.85546875" customWidth="1"/>
    <col min="3589" max="3589" width="14.140625" customWidth="1"/>
    <col min="3590" max="3590" width="13.5703125" customWidth="1"/>
    <col min="3591" max="3591" width="15.5703125" customWidth="1"/>
    <col min="3592" max="3592" width="15.42578125" customWidth="1"/>
    <col min="3593" max="3594" width="17.7109375" customWidth="1"/>
    <col min="3595" max="3595" width="2.7109375" customWidth="1"/>
    <col min="3842" max="3842" width="1.5703125" customWidth="1"/>
    <col min="3843" max="3843" width="18.5703125" customWidth="1"/>
    <col min="3844" max="3844" width="11.85546875" customWidth="1"/>
    <col min="3845" max="3845" width="14.140625" customWidth="1"/>
    <col min="3846" max="3846" width="13.5703125" customWidth="1"/>
    <col min="3847" max="3847" width="15.5703125" customWidth="1"/>
    <col min="3848" max="3848" width="15.42578125" customWidth="1"/>
    <col min="3849" max="3850" width="17.7109375" customWidth="1"/>
    <col min="3851" max="3851" width="2.7109375" customWidth="1"/>
    <col min="4098" max="4098" width="1.5703125" customWidth="1"/>
    <col min="4099" max="4099" width="18.5703125" customWidth="1"/>
    <col min="4100" max="4100" width="11.85546875" customWidth="1"/>
    <col min="4101" max="4101" width="14.140625" customWidth="1"/>
    <col min="4102" max="4102" width="13.5703125" customWidth="1"/>
    <col min="4103" max="4103" width="15.5703125" customWidth="1"/>
    <col min="4104" max="4104" width="15.42578125" customWidth="1"/>
    <col min="4105" max="4106" width="17.7109375" customWidth="1"/>
    <col min="4107" max="4107" width="2.7109375" customWidth="1"/>
    <col min="4354" max="4354" width="1.5703125" customWidth="1"/>
    <col min="4355" max="4355" width="18.5703125" customWidth="1"/>
    <col min="4356" max="4356" width="11.85546875" customWidth="1"/>
    <col min="4357" max="4357" width="14.140625" customWidth="1"/>
    <col min="4358" max="4358" width="13.5703125" customWidth="1"/>
    <col min="4359" max="4359" width="15.5703125" customWidth="1"/>
    <col min="4360" max="4360" width="15.42578125" customWidth="1"/>
    <col min="4361" max="4362" width="17.7109375" customWidth="1"/>
    <col min="4363" max="4363" width="2.7109375" customWidth="1"/>
    <col min="4610" max="4610" width="1.5703125" customWidth="1"/>
    <col min="4611" max="4611" width="18.5703125" customWidth="1"/>
    <col min="4612" max="4612" width="11.85546875" customWidth="1"/>
    <col min="4613" max="4613" width="14.140625" customWidth="1"/>
    <col min="4614" max="4614" width="13.5703125" customWidth="1"/>
    <col min="4615" max="4615" width="15.5703125" customWidth="1"/>
    <col min="4616" max="4616" width="15.42578125" customWidth="1"/>
    <col min="4617" max="4618" width="17.7109375" customWidth="1"/>
    <col min="4619" max="4619" width="2.7109375" customWidth="1"/>
    <col min="4866" max="4866" width="1.5703125" customWidth="1"/>
    <col min="4867" max="4867" width="18.5703125" customWidth="1"/>
    <col min="4868" max="4868" width="11.85546875" customWidth="1"/>
    <col min="4869" max="4869" width="14.140625" customWidth="1"/>
    <col min="4870" max="4870" width="13.5703125" customWidth="1"/>
    <col min="4871" max="4871" width="15.5703125" customWidth="1"/>
    <col min="4872" max="4872" width="15.42578125" customWidth="1"/>
    <col min="4873" max="4874" width="17.7109375" customWidth="1"/>
    <col min="4875" max="4875" width="2.7109375" customWidth="1"/>
    <col min="5122" max="5122" width="1.5703125" customWidth="1"/>
    <col min="5123" max="5123" width="18.5703125" customWidth="1"/>
    <col min="5124" max="5124" width="11.85546875" customWidth="1"/>
    <col min="5125" max="5125" width="14.140625" customWidth="1"/>
    <col min="5126" max="5126" width="13.5703125" customWidth="1"/>
    <col min="5127" max="5127" width="15.5703125" customWidth="1"/>
    <col min="5128" max="5128" width="15.42578125" customWidth="1"/>
    <col min="5129" max="5130" width="17.7109375" customWidth="1"/>
    <col min="5131" max="5131" width="2.7109375" customWidth="1"/>
    <col min="5378" max="5378" width="1.5703125" customWidth="1"/>
    <col min="5379" max="5379" width="18.5703125" customWidth="1"/>
    <col min="5380" max="5380" width="11.85546875" customWidth="1"/>
    <col min="5381" max="5381" width="14.140625" customWidth="1"/>
    <col min="5382" max="5382" width="13.5703125" customWidth="1"/>
    <col min="5383" max="5383" width="15.5703125" customWidth="1"/>
    <col min="5384" max="5384" width="15.42578125" customWidth="1"/>
    <col min="5385" max="5386" width="17.7109375" customWidth="1"/>
    <col min="5387" max="5387" width="2.7109375" customWidth="1"/>
    <col min="5634" max="5634" width="1.5703125" customWidth="1"/>
    <col min="5635" max="5635" width="18.5703125" customWidth="1"/>
    <col min="5636" max="5636" width="11.85546875" customWidth="1"/>
    <col min="5637" max="5637" width="14.140625" customWidth="1"/>
    <col min="5638" max="5638" width="13.5703125" customWidth="1"/>
    <col min="5639" max="5639" width="15.5703125" customWidth="1"/>
    <col min="5640" max="5640" width="15.42578125" customWidth="1"/>
    <col min="5641" max="5642" width="17.7109375" customWidth="1"/>
    <col min="5643" max="5643" width="2.7109375" customWidth="1"/>
    <col min="5890" max="5890" width="1.5703125" customWidth="1"/>
    <col min="5891" max="5891" width="18.5703125" customWidth="1"/>
    <col min="5892" max="5892" width="11.85546875" customWidth="1"/>
    <col min="5893" max="5893" width="14.140625" customWidth="1"/>
    <col min="5894" max="5894" width="13.5703125" customWidth="1"/>
    <col min="5895" max="5895" width="15.5703125" customWidth="1"/>
    <col min="5896" max="5896" width="15.42578125" customWidth="1"/>
    <col min="5897" max="5898" width="17.7109375" customWidth="1"/>
    <col min="5899" max="5899" width="2.7109375" customWidth="1"/>
    <col min="6146" max="6146" width="1.5703125" customWidth="1"/>
    <col min="6147" max="6147" width="18.5703125" customWidth="1"/>
    <col min="6148" max="6148" width="11.85546875" customWidth="1"/>
    <col min="6149" max="6149" width="14.140625" customWidth="1"/>
    <col min="6150" max="6150" width="13.5703125" customWidth="1"/>
    <col min="6151" max="6151" width="15.5703125" customWidth="1"/>
    <col min="6152" max="6152" width="15.42578125" customWidth="1"/>
    <col min="6153" max="6154" width="17.7109375" customWidth="1"/>
    <col min="6155" max="6155" width="2.7109375" customWidth="1"/>
    <col min="6402" max="6402" width="1.5703125" customWidth="1"/>
    <col min="6403" max="6403" width="18.5703125" customWidth="1"/>
    <col min="6404" max="6404" width="11.85546875" customWidth="1"/>
    <col min="6405" max="6405" width="14.140625" customWidth="1"/>
    <col min="6406" max="6406" width="13.5703125" customWidth="1"/>
    <col min="6407" max="6407" width="15.5703125" customWidth="1"/>
    <col min="6408" max="6408" width="15.42578125" customWidth="1"/>
    <col min="6409" max="6410" width="17.7109375" customWidth="1"/>
    <col min="6411" max="6411" width="2.7109375" customWidth="1"/>
    <col min="6658" max="6658" width="1.5703125" customWidth="1"/>
    <col min="6659" max="6659" width="18.5703125" customWidth="1"/>
    <col min="6660" max="6660" width="11.85546875" customWidth="1"/>
    <col min="6661" max="6661" width="14.140625" customWidth="1"/>
    <col min="6662" max="6662" width="13.5703125" customWidth="1"/>
    <col min="6663" max="6663" width="15.5703125" customWidth="1"/>
    <col min="6664" max="6664" width="15.42578125" customWidth="1"/>
    <col min="6665" max="6666" width="17.7109375" customWidth="1"/>
    <col min="6667" max="6667" width="2.7109375" customWidth="1"/>
    <col min="6914" max="6914" width="1.5703125" customWidth="1"/>
    <col min="6915" max="6915" width="18.5703125" customWidth="1"/>
    <col min="6916" max="6916" width="11.85546875" customWidth="1"/>
    <col min="6917" max="6917" width="14.140625" customWidth="1"/>
    <col min="6918" max="6918" width="13.5703125" customWidth="1"/>
    <col min="6919" max="6919" width="15.5703125" customWidth="1"/>
    <col min="6920" max="6920" width="15.42578125" customWidth="1"/>
    <col min="6921" max="6922" width="17.7109375" customWidth="1"/>
    <col min="6923" max="6923" width="2.7109375" customWidth="1"/>
    <col min="7170" max="7170" width="1.5703125" customWidth="1"/>
    <col min="7171" max="7171" width="18.5703125" customWidth="1"/>
    <col min="7172" max="7172" width="11.85546875" customWidth="1"/>
    <col min="7173" max="7173" width="14.140625" customWidth="1"/>
    <col min="7174" max="7174" width="13.5703125" customWidth="1"/>
    <col min="7175" max="7175" width="15.5703125" customWidth="1"/>
    <col min="7176" max="7176" width="15.42578125" customWidth="1"/>
    <col min="7177" max="7178" width="17.7109375" customWidth="1"/>
    <col min="7179" max="7179" width="2.7109375" customWidth="1"/>
    <col min="7426" max="7426" width="1.5703125" customWidth="1"/>
    <col min="7427" max="7427" width="18.5703125" customWidth="1"/>
    <col min="7428" max="7428" width="11.85546875" customWidth="1"/>
    <col min="7429" max="7429" width="14.140625" customWidth="1"/>
    <col min="7430" max="7430" width="13.5703125" customWidth="1"/>
    <col min="7431" max="7431" width="15.5703125" customWidth="1"/>
    <col min="7432" max="7432" width="15.42578125" customWidth="1"/>
    <col min="7433" max="7434" width="17.7109375" customWidth="1"/>
    <col min="7435" max="7435" width="2.7109375" customWidth="1"/>
    <col min="7682" max="7682" width="1.5703125" customWidth="1"/>
    <col min="7683" max="7683" width="18.5703125" customWidth="1"/>
    <col min="7684" max="7684" width="11.85546875" customWidth="1"/>
    <col min="7685" max="7685" width="14.140625" customWidth="1"/>
    <col min="7686" max="7686" width="13.5703125" customWidth="1"/>
    <col min="7687" max="7687" width="15.5703125" customWidth="1"/>
    <col min="7688" max="7688" width="15.42578125" customWidth="1"/>
    <col min="7689" max="7690" width="17.7109375" customWidth="1"/>
    <col min="7691" max="7691" width="2.7109375" customWidth="1"/>
    <col min="7938" max="7938" width="1.5703125" customWidth="1"/>
    <col min="7939" max="7939" width="18.5703125" customWidth="1"/>
    <col min="7940" max="7940" width="11.85546875" customWidth="1"/>
    <col min="7941" max="7941" width="14.140625" customWidth="1"/>
    <col min="7942" max="7942" width="13.5703125" customWidth="1"/>
    <col min="7943" max="7943" width="15.5703125" customWidth="1"/>
    <col min="7944" max="7944" width="15.42578125" customWidth="1"/>
    <col min="7945" max="7946" width="17.7109375" customWidth="1"/>
    <col min="7947" max="7947" width="2.7109375" customWidth="1"/>
    <col min="8194" max="8194" width="1.5703125" customWidth="1"/>
    <col min="8195" max="8195" width="18.5703125" customWidth="1"/>
    <col min="8196" max="8196" width="11.85546875" customWidth="1"/>
    <col min="8197" max="8197" width="14.140625" customWidth="1"/>
    <col min="8198" max="8198" width="13.5703125" customWidth="1"/>
    <col min="8199" max="8199" width="15.5703125" customWidth="1"/>
    <col min="8200" max="8200" width="15.42578125" customWidth="1"/>
    <col min="8201" max="8202" width="17.7109375" customWidth="1"/>
    <col min="8203" max="8203" width="2.7109375" customWidth="1"/>
    <col min="8450" max="8450" width="1.5703125" customWidth="1"/>
    <col min="8451" max="8451" width="18.5703125" customWidth="1"/>
    <col min="8452" max="8452" width="11.85546875" customWidth="1"/>
    <col min="8453" max="8453" width="14.140625" customWidth="1"/>
    <col min="8454" max="8454" width="13.5703125" customWidth="1"/>
    <col min="8455" max="8455" width="15.5703125" customWidth="1"/>
    <col min="8456" max="8456" width="15.42578125" customWidth="1"/>
    <col min="8457" max="8458" width="17.7109375" customWidth="1"/>
    <col min="8459" max="8459" width="2.7109375" customWidth="1"/>
    <col min="8706" max="8706" width="1.5703125" customWidth="1"/>
    <col min="8707" max="8707" width="18.5703125" customWidth="1"/>
    <col min="8708" max="8708" width="11.85546875" customWidth="1"/>
    <col min="8709" max="8709" width="14.140625" customWidth="1"/>
    <col min="8710" max="8710" width="13.5703125" customWidth="1"/>
    <col min="8711" max="8711" width="15.5703125" customWidth="1"/>
    <col min="8712" max="8712" width="15.42578125" customWidth="1"/>
    <col min="8713" max="8714" width="17.7109375" customWidth="1"/>
    <col min="8715" max="8715" width="2.7109375" customWidth="1"/>
    <col min="8962" max="8962" width="1.5703125" customWidth="1"/>
    <col min="8963" max="8963" width="18.5703125" customWidth="1"/>
    <col min="8964" max="8964" width="11.85546875" customWidth="1"/>
    <col min="8965" max="8965" width="14.140625" customWidth="1"/>
    <col min="8966" max="8966" width="13.5703125" customWidth="1"/>
    <col min="8967" max="8967" width="15.5703125" customWidth="1"/>
    <col min="8968" max="8968" width="15.42578125" customWidth="1"/>
    <col min="8969" max="8970" width="17.7109375" customWidth="1"/>
    <col min="8971" max="8971" width="2.7109375" customWidth="1"/>
    <col min="9218" max="9218" width="1.5703125" customWidth="1"/>
    <col min="9219" max="9219" width="18.5703125" customWidth="1"/>
    <col min="9220" max="9220" width="11.85546875" customWidth="1"/>
    <col min="9221" max="9221" width="14.140625" customWidth="1"/>
    <col min="9222" max="9222" width="13.5703125" customWidth="1"/>
    <col min="9223" max="9223" width="15.5703125" customWidth="1"/>
    <col min="9224" max="9224" width="15.42578125" customWidth="1"/>
    <col min="9225" max="9226" width="17.7109375" customWidth="1"/>
    <col min="9227" max="9227" width="2.7109375" customWidth="1"/>
    <col min="9474" max="9474" width="1.5703125" customWidth="1"/>
    <col min="9475" max="9475" width="18.5703125" customWidth="1"/>
    <col min="9476" max="9476" width="11.85546875" customWidth="1"/>
    <col min="9477" max="9477" width="14.140625" customWidth="1"/>
    <col min="9478" max="9478" width="13.5703125" customWidth="1"/>
    <col min="9479" max="9479" width="15.5703125" customWidth="1"/>
    <col min="9480" max="9480" width="15.42578125" customWidth="1"/>
    <col min="9481" max="9482" width="17.7109375" customWidth="1"/>
    <col min="9483" max="9483" width="2.7109375" customWidth="1"/>
    <col min="9730" max="9730" width="1.5703125" customWidth="1"/>
    <col min="9731" max="9731" width="18.5703125" customWidth="1"/>
    <col min="9732" max="9732" width="11.85546875" customWidth="1"/>
    <col min="9733" max="9733" width="14.140625" customWidth="1"/>
    <col min="9734" max="9734" width="13.5703125" customWidth="1"/>
    <col min="9735" max="9735" width="15.5703125" customWidth="1"/>
    <col min="9736" max="9736" width="15.42578125" customWidth="1"/>
    <col min="9737" max="9738" width="17.7109375" customWidth="1"/>
    <col min="9739" max="9739" width="2.7109375" customWidth="1"/>
    <col min="9986" max="9986" width="1.5703125" customWidth="1"/>
    <col min="9987" max="9987" width="18.5703125" customWidth="1"/>
    <col min="9988" max="9988" width="11.85546875" customWidth="1"/>
    <col min="9989" max="9989" width="14.140625" customWidth="1"/>
    <col min="9990" max="9990" width="13.5703125" customWidth="1"/>
    <col min="9991" max="9991" width="15.5703125" customWidth="1"/>
    <col min="9992" max="9992" width="15.42578125" customWidth="1"/>
    <col min="9993" max="9994" width="17.7109375" customWidth="1"/>
    <col min="9995" max="9995" width="2.7109375" customWidth="1"/>
    <col min="10242" max="10242" width="1.5703125" customWidth="1"/>
    <col min="10243" max="10243" width="18.5703125" customWidth="1"/>
    <col min="10244" max="10244" width="11.85546875" customWidth="1"/>
    <col min="10245" max="10245" width="14.140625" customWidth="1"/>
    <col min="10246" max="10246" width="13.5703125" customWidth="1"/>
    <col min="10247" max="10247" width="15.5703125" customWidth="1"/>
    <col min="10248" max="10248" width="15.42578125" customWidth="1"/>
    <col min="10249" max="10250" width="17.7109375" customWidth="1"/>
    <col min="10251" max="10251" width="2.7109375" customWidth="1"/>
    <col min="10498" max="10498" width="1.5703125" customWidth="1"/>
    <col min="10499" max="10499" width="18.5703125" customWidth="1"/>
    <col min="10500" max="10500" width="11.85546875" customWidth="1"/>
    <col min="10501" max="10501" width="14.140625" customWidth="1"/>
    <col min="10502" max="10502" width="13.5703125" customWidth="1"/>
    <col min="10503" max="10503" width="15.5703125" customWidth="1"/>
    <col min="10504" max="10504" width="15.42578125" customWidth="1"/>
    <col min="10505" max="10506" width="17.7109375" customWidth="1"/>
    <col min="10507" max="10507" width="2.7109375" customWidth="1"/>
    <col min="10754" max="10754" width="1.5703125" customWidth="1"/>
    <col min="10755" max="10755" width="18.5703125" customWidth="1"/>
    <col min="10756" max="10756" width="11.85546875" customWidth="1"/>
    <col min="10757" max="10757" width="14.140625" customWidth="1"/>
    <col min="10758" max="10758" width="13.5703125" customWidth="1"/>
    <col min="10759" max="10759" width="15.5703125" customWidth="1"/>
    <col min="10760" max="10760" width="15.42578125" customWidth="1"/>
    <col min="10761" max="10762" width="17.7109375" customWidth="1"/>
    <col min="10763" max="10763" width="2.7109375" customWidth="1"/>
    <col min="11010" max="11010" width="1.5703125" customWidth="1"/>
    <col min="11011" max="11011" width="18.5703125" customWidth="1"/>
    <col min="11012" max="11012" width="11.85546875" customWidth="1"/>
    <col min="11013" max="11013" width="14.140625" customWidth="1"/>
    <col min="11014" max="11014" width="13.5703125" customWidth="1"/>
    <col min="11015" max="11015" width="15.5703125" customWidth="1"/>
    <col min="11016" max="11016" width="15.42578125" customWidth="1"/>
    <col min="11017" max="11018" width="17.7109375" customWidth="1"/>
    <col min="11019" max="11019" width="2.7109375" customWidth="1"/>
    <col min="11266" max="11266" width="1.5703125" customWidth="1"/>
    <col min="11267" max="11267" width="18.5703125" customWidth="1"/>
    <col min="11268" max="11268" width="11.85546875" customWidth="1"/>
    <col min="11269" max="11269" width="14.140625" customWidth="1"/>
    <col min="11270" max="11270" width="13.5703125" customWidth="1"/>
    <col min="11271" max="11271" width="15.5703125" customWidth="1"/>
    <col min="11272" max="11272" width="15.42578125" customWidth="1"/>
    <col min="11273" max="11274" width="17.7109375" customWidth="1"/>
    <col min="11275" max="11275" width="2.7109375" customWidth="1"/>
    <col min="11522" max="11522" width="1.5703125" customWidth="1"/>
    <col min="11523" max="11523" width="18.5703125" customWidth="1"/>
    <col min="11524" max="11524" width="11.85546875" customWidth="1"/>
    <col min="11525" max="11525" width="14.140625" customWidth="1"/>
    <col min="11526" max="11526" width="13.5703125" customWidth="1"/>
    <col min="11527" max="11527" width="15.5703125" customWidth="1"/>
    <col min="11528" max="11528" width="15.42578125" customWidth="1"/>
    <col min="11529" max="11530" width="17.7109375" customWidth="1"/>
    <col min="11531" max="11531" width="2.7109375" customWidth="1"/>
    <col min="11778" max="11778" width="1.5703125" customWidth="1"/>
    <col min="11779" max="11779" width="18.5703125" customWidth="1"/>
    <col min="11780" max="11780" width="11.85546875" customWidth="1"/>
    <col min="11781" max="11781" width="14.140625" customWidth="1"/>
    <col min="11782" max="11782" width="13.5703125" customWidth="1"/>
    <col min="11783" max="11783" width="15.5703125" customWidth="1"/>
    <col min="11784" max="11784" width="15.42578125" customWidth="1"/>
    <col min="11785" max="11786" width="17.7109375" customWidth="1"/>
    <col min="11787" max="11787" width="2.7109375" customWidth="1"/>
    <col min="12034" max="12034" width="1.5703125" customWidth="1"/>
    <col min="12035" max="12035" width="18.5703125" customWidth="1"/>
    <col min="12036" max="12036" width="11.85546875" customWidth="1"/>
    <col min="12037" max="12037" width="14.140625" customWidth="1"/>
    <col min="12038" max="12038" width="13.5703125" customWidth="1"/>
    <col min="12039" max="12039" width="15.5703125" customWidth="1"/>
    <col min="12040" max="12040" width="15.42578125" customWidth="1"/>
    <col min="12041" max="12042" width="17.7109375" customWidth="1"/>
    <col min="12043" max="12043" width="2.7109375" customWidth="1"/>
    <col min="12290" max="12290" width="1.5703125" customWidth="1"/>
    <col min="12291" max="12291" width="18.5703125" customWidth="1"/>
    <col min="12292" max="12292" width="11.85546875" customWidth="1"/>
    <col min="12293" max="12293" width="14.140625" customWidth="1"/>
    <col min="12294" max="12294" width="13.5703125" customWidth="1"/>
    <col min="12295" max="12295" width="15.5703125" customWidth="1"/>
    <col min="12296" max="12296" width="15.42578125" customWidth="1"/>
    <col min="12297" max="12298" width="17.7109375" customWidth="1"/>
    <col min="12299" max="12299" width="2.7109375" customWidth="1"/>
    <col min="12546" max="12546" width="1.5703125" customWidth="1"/>
    <col min="12547" max="12547" width="18.5703125" customWidth="1"/>
    <col min="12548" max="12548" width="11.85546875" customWidth="1"/>
    <col min="12549" max="12549" width="14.140625" customWidth="1"/>
    <col min="12550" max="12550" width="13.5703125" customWidth="1"/>
    <col min="12551" max="12551" width="15.5703125" customWidth="1"/>
    <col min="12552" max="12552" width="15.42578125" customWidth="1"/>
    <col min="12553" max="12554" width="17.7109375" customWidth="1"/>
    <col min="12555" max="12555" width="2.7109375" customWidth="1"/>
    <col min="12802" max="12802" width="1.5703125" customWidth="1"/>
    <col min="12803" max="12803" width="18.5703125" customWidth="1"/>
    <col min="12804" max="12804" width="11.85546875" customWidth="1"/>
    <col min="12805" max="12805" width="14.140625" customWidth="1"/>
    <col min="12806" max="12806" width="13.5703125" customWidth="1"/>
    <col min="12807" max="12807" width="15.5703125" customWidth="1"/>
    <col min="12808" max="12808" width="15.42578125" customWidth="1"/>
    <col min="12809" max="12810" width="17.7109375" customWidth="1"/>
    <col min="12811" max="12811" width="2.7109375" customWidth="1"/>
    <col min="13058" max="13058" width="1.5703125" customWidth="1"/>
    <col min="13059" max="13059" width="18.5703125" customWidth="1"/>
    <col min="13060" max="13060" width="11.85546875" customWidth="1"/>
    <col min="13061" max="13061" width="14.140625" customWidth="1"/>
    <col min="13062" max="13062" width="13.5703125" customWidth="1"/>
    <col min="13063" max="13063" width="15.5703125" customWidth="1"/>
    <col min="13064" max="13064" width="15.42578125" customWidth="1"/>
    <col min="13065" max="13066" width="17.7109375" customWidth="1"/>
    <col min="13067" max="13067" width="2.7109375" customWidth="1"/>
    <col min="13314" max="13314" width="1.5703125" customWidth="1"/>
    <col min="13315" max="13315" width="18.5703125" customWidth="1"/>
    <col min="13316" max="13316" width="11.85546875" customWidth="1"/>
    <col min="13317" max="13317" width="14.140625" customWidth="1"/>
    <col min="13318" max="13318" width="13.5703125" customWidth="1"/>
    <col min="13319" max="13319" width="15.5703125" customWidth="1"/>
    <col min="13320" max="13320" width="15.42578125" customWidth="1"/>
    <col min="13321" max="13322" width="17.7109375" customWidth="1"/>
    <col min="13323" max="13323" width="2.7109375" customWidth="1"/>
    <col min="13570" max="13570" width="1.5703125" customWidth="1"/>
    <col min="13571" max="13571" width="18.5703125" customWidth="1"/>
    <col min="13572" max="13572" width="11.85546875" customWidth="1"/>
    <col min="13573" max="13573" width="14.140625" customWidth="1"/>
    <col min="13574" max="13574" width="13.5703125" customWidth="1"/>
    <col min="13575" max="13575" width="15.5703125" customWidth="1"/>
    <col min="13576" max="13576" width="15.42578125" customWidth="1"/>
    <col min="13577" max="13578" width="17.7109375" customWidth="1"/>
    <col min="13579" max="13579" width="2.7109375" customWidth="1"/>
    <col min="13826" max="13826" width="1.5703125" customWidth="1"/>
    <col min="13827" max="13827" width="18.5703125" customWidth="1"/>
    <col min="13828" max="13828" width="11.85546875" customWidth="1"/>
    <col min="13829" max="13829" width="14.140625" customWidth="1"/>
    <col min="13830" max="13830" width="13.5703125" customWidth="1"/>
    <col min="13831" max="13831" width="15.5703125" customWidth="1"/>
    <col min="13832" max="13832" width="15.42578125" customWidth="1"/>
    <col min="13833" max="13834" width="17.7109375" customWidth="1"/>
    <col min="13835" max="13835" width="2.7109375" customWidth="1"/>
    <col min="14082" max="14082" width="1.5703125" customWidth="1"/>
    <col min="14083" max="14083" width="18.5703125" customWidth="1"/>
    <col min="14084" max="14084" width="11.85546875" customWidth="1"/>
    <col min="14085" max="14085" width="14.140625" customWidth="1"/>
    <col min="14086" max="14086" width="13.5703125" customWidth="1"/>
    <col min="14087" max="14087" width="15.5703125" customWidth="1"/>
    <col min="14088" max="14088" width="15.42578125" customWidth="1"/>
    <col min="14089" max="14090" width="17.7109375" customWidth="1"/>
    <col min="14091" max="14091" width="2.7109375" customWidth="1"/>
    <col min="14338" max="14338" width="1.5703125" customWidth="1"/>
    <col min="14339" max="14339" width="18.5703125" customWidth="1"/>
    <col min="14340" max="14340" width="11.85546875" customWidth="1"/>
    <col min="14341" max="14341" width="14.140625" customWidth="1"/>
    <col min="14342" max="14342" width="13.5703125" customWidth="1"/>
    <col min="14343" max="14343" width="15.5703125" customWidth="1"/>
    <col min="14344" max="14344" width="15.42578125" customWidth="1"/>
    <col min="14345" max="14346" width="17.7109375" customWidth="1"/>
    <col min="14347" max="14347" width="2.7109375" customWidth="1"/>
    <col min="14594" max="14594" width="1.5703125" customWidth="1"/>
    <col min="14595" max="14595" width="18.5703125" customWidth="1"/>
    <col min="14596" max="14596" width="11.85546875" customWidth="1"/>
    <col min="14597" max="14597" width="14.140625" customWidth="1"/>
    <col min="14598" max="14598" width="13.5703125" customWidth="1"/>
    <col min="14599" max="14599" width="15.5703125" customWidth="1"/>
    <col min="14600" max="14600" width="15.42578125" customWidth="1"/>
    <col min="14601" max="14602" width="17.7109375" customWidth="1"/>
    <col min="14603" max="14603" width="2.7109375" customWidth="1"/>
    <col min="14850" max="14850" width="1.5703125" customWidth="1"/>
    <col min="14851" max="14851" width="18.5703125" customWidth="1"/>
    <col min="14852" max="14852" width="11.85546875" customWidth="1"/>
    <col min="14853" max="14853" width="14.140625" customWidth="1"/>
    <col min="14854" max="14854" width="13.5703125" customWidth="1"/>
    <col min="14855" max="14855" width="15.5703125" customWidth="1"/>
    <col min="14856" max="14856" width="15.42578125" customWidth="1"/>
    <col min="14857" max="14858" width="17.7109375" customWidth="1"/>
    <col min="14859" max="14859" width="2.7109375" customWidth="1"/>
    <col min="15106" max="15106" width="1.5703125" customWidth="1"/>
    <col min="15107" max="15107" width="18.5703125" customWidth="1"/>
    <col min="15108" max="15108" width="11.85546875" customWidth="1"/>
    <col min="15109" max="15109" width="14.140625" customWidth="1"/>
    <col min="15110" max="15110" width="13.5703125" customWidth="1"/>
    <col min="15111" max="15111" width="15.5703125" customWidth="1"/>
    <col min="15112" max="15112" width="15.42578125" customWidth="1"/>
    <col min="15113" max="15114" width="17.7109375" customWidth="1"/>
    <col min="15115" max="15115" width="2.7109375" customWidth="1"/>
    <col min="15362" max="15362" width="1.5703125" customWidth="1"/>
    <col min="15363" max="15363" width="18.5703125" customWidth="1"/>
    <col min="15364" max="15364" width="11.85546875" customWidth="1"/>
    <col min="15365" max="15365" width="14.140625" customWidth="1"/>
    <col min="15366" max="15366" width="13.5703125" customWidth="1"/>
    <col min="15367" max="15367" width="15.5703125" customWidth="1"/>
    <col min="15368" max="15368" width="15.42578125" customWidth="1"/>
    <col min="15369" max="15370" width="17.7109375" customWidth="1"/>
    <col min="15371" max="15371" width="2.7109375" customWidth="1"/>
    <col min="15618" max="15618" width="1.5703125" customWidth="1"/>
    <col min="15619" max="15619" width="18.5703125" customWidth="1"/>
    <col min="15620" max="15620" width="11.85546875" customWidth="1"/>
    <col min="15621" max="15621" width="14.140625" customWidth="1"/>
    <col min="15622" max="15622" width="13.5703125" customWidth="1"/>
    <col min="15623" max="15623" width="15.5703125" customWidth="1"/>
    <col min="15624" max="15624" width="15.42578125" customWidth="1"/>
    <col min="15625" max="15626" width="17.7109375" customWidth="1"/>
    <col min="15627" max="15627" width="2.7109375" customWidth="1"/>
    <col min="15874" max="15874" width="1.5703125" customWidth="1"/>
    <col min="15875" max="15875" width="18.5703125" customWidth="1"/>
    <col min="15876" max="15876" width="11.85546875" customWidth="1"/>
    <col min="15877" max="15877" width="14.140625" customWidth="1"/>
    <col min="15878" max="15878" width="13.5703125" customWidth="1"/>
    <col min="15879" max="15879" width="15.5703125" customWidth="1"/>
    <col min="15880" max="15880" width="15.42578125" customWidth="1"/>
    <col min="15881" max="15882" width="17.7109375" customWidth="1"/>
    <col min="15883" max="15883" width="2.7109375" customWidth="1"/>
    <col min="16130" max="16130" width="1.5703125" customWidth="1"/>
    <col min="16131" max="16131" width="18.5703125" customWidth="1"/>
    <col min="16132" max="16132" width="11.85546875" customWidth="1"/>
    <col min="16133" max="16133" width="14.140625" customWidth="1"/>
    <col min="16134" max="16134" width="13.5703125" customWidth="1"/>
    <col min="16135" max="16135" width="15.5703125" customWidth="1"/>
    <col min="16136" max="16136" width="15.42578125" customWidth="1"/>
    <col min="16137" max="16138" width="17.7109375" customWidth="1"/>
    <col min="16139" max="16139" width="2.7109375" customWidth="1"/>
  </cols>
  <sheetData>
    <row r="1" spans="1:20" ht="40.5" customHeight="1" thickTop="1" x14ac:dyDescent="0.5">
      <c r="A1" s="17"/>
      <c r="B1" s="65" t="s">
        <v>38</v>
      </c>
      <c r="C1" s="65"/>
      <c r="D1" s="65"/>
      <c r="E1" s="65"/>
      <c r="F1" s="65"/>
      <c r="G1" s="65"/>
      <c r="H1" s="65"/>
      <c r="I1" s="18"/>
      <c r="J1" s="18"/>
      <c r="K1" s="19"/>
    </row>
    <row r="2" spans="1:20" ht="37.5" customHeight="1" x14ac:dyDescent="0.35">
      <c r="A2" s="20"/>
      <c r="B2" s="66" t="s">
        <v>2</v>
      </c>
      <c r="C2" s="66"/>
      <c r="D2" s="66"/>
      <c r="E2" s="66"/>
      <c r="F2" s="66"/>
      <c r="G2" s="66"/>
      <c r="H2" s="66"/>
      <c r="I2" s="56"/>
      <c r="J2" s="56"/>
      <c r="K2" s="21"/>
    </row>
    <row r="3" spans="1:20" x14ac:dyDescent="0.25">
      <c r="A3" s="20"/>
      <c r="B3" s="60"/>
      <c r="C3" s="60"/>
      <c r="D3" s="60"/>
      <c r="E3" s="60"/>
      <c r="F3" s="60"/>
      <c r="G3" s="60"/>
      <c r="H3" s="60"/>
      <c r="I3" s="60"/>
      <c r="J3" s="60"/>
      <c r="K3" s="21"/>
    </row>
    <row r="4" spans="1:20" ht="41.25" customHeight="1" x14ac:dyDescent="0.25">
      <c r="A4" s="20"/>
      <c r="K4" s="21"/>
    </row>
    <row r="5" spans="1:20" ht="23.25" x14ac:dyDescent="0.35">
      <c r="A5" s="20"/>
      <c r="B5" s="61"/>
      <c r="C5" s="61"/>
      <c r="D5" s="61"/>
      <c r="E5" s="61"/>
      <c r="F5" s="61"/>
      <c r="G5" s="61"/>
      <c r="H5" s="61"/>
      <c r="I5" s="61"/>
      <c r="J5" s="61"/>
      <c r="K5" s="21"/>
    </row>
    <row r="6" spans="1:20" ht="54.75" customHeight="1" x14ac:dyDescent="0.25">
      <c r="A6" s="20"/>
      <c r="B6" s="62" t="s">
        <v>55</v>
      </c>
      <c r="C6" s="62"/>
      <c r="D6" s="62"/>
      <c r="E6" s="62"/>
      <c r="F6" s="62"/>
      <c r="G6" s="62"/>
      <c r="H6" s="62"/>
      <c r="I6" s="62"/>
      <c r="J6" s="62"/>
      <c r="K6" s="21"/>
    </row>
    <row r="7" spans="1:20" ht="23.25" x14ac:dyDescent="0.25">
      <c r="A7" s="20"/>
      <c r="B7" s="62" t="s">
        <v>35</v>
      </c>
      <c r="C7" s="62"/>
      <c r="D7" s="62"/>
      <c r="E7" s="62"/>
      <c r="F7" s="62"/>
      <c r="G7" s="62"/>
      <c r="H7" s="62"/>
      <c r="I7" s="62"/>
      <c r="J7" s="62"/>
      <c r="K7" s="21"/>
    </row>
    <row r="8" spans="1:20" ht="27" customHeight="1" x14ac:dyDescent="0.25">
      <c r="A8" s="20"/>
      <c r="B8" s="27"/>
      <c r="C8" s="27"/>
      <c r="D8" s="27"/>
      <c r="E8" s="27"/>
      <c r="F8" s="27"/>
      <c r="G8" s="27"/>
      <c r="H8" s="27"/>
      <c r="I8" s="27"/>
      <c r="J8" s="27"/>
      <c r="K8" s="21"/>
    </row>
    <row r="9" spans="1:20" ht="30.75" customHeight="1" x14ac:dyDescent="0.25">
      <c r="A9" s="20"/>
      <c r="B9" s="22"/>
      <c r="C9" s="64" t="s">
        <v>29</v>
      </c>
      <c r="D9" s="64"/>
      <c r="E9" s="64"/>
      <c r="F9" s="63">
        <f>+GRADAS!H16+1</f>
        <v>45905</v>
      </c>
      <c r="G9" s="63"/>
      <c r="H9" s="63"/>
      <c r="I9" s="63"/>
      <c r="J9" s="63"/>
      <c r="K9" s="21"/>
    </row>
    <row r="10" spans="1:20" ht="9" customHeight="1" x14ac:dyDescent="0.25">
      <c r="A10" s="20"/>
      <c r="B10" s="60"/>
      <c r="C10" s="60"/>
      <c r="D10" s="60"/>
      <c r="E10" s="60"/>
      <c r="F10" s="60"/>
      <c r="G10" s="60"/>
      <c r="H10" s="60"/>
      <c r="I10" s="60"/>
      <c r="J10" s="60"/>
      <c r="K10" s="21"/>
    </row>
    <row r="11" spans="1:20" ht="20.100000000000001" customHeight="1" x14ac:dyDescent="0.25">
      <c r="A11" s="20"/>
      <c r="B11" s="42"/>
      <c r="C11" s="42"/>
      <c r="D11" s="42"/>
      <c r="E11" s="42"/>
      <c r="F11" s="42"/>
      <c r="G11" s="42"/>
      <c r="H11" s="42"/>
      <c r="I11" s="42"/>
      <c r="J11" s="42"/>
      <c r="K11" s="21"/>
    </row>
    <row r="12" spans="1:20" ht="24.75" customHeight="1" x14ac:dyDescent="0.25">
      <c r="A12" s="20"/>
      <c r="B12" s="42" t="s">
        <v>56</v>
      </c>
      <c r="C12" s="59" t="s">
        <v>60</v>
      </c>
      <c r="D12" s="59"/>
      <c r="E12" s="59"/>
      <c r="F12" s="59"/>
      <c r="G12" s="59"/>
      <c r="H12" s="59"/>
      <c r="I12" s="59"/>
      <c r="J12" s="59"/>
      <c r="K12" s="21"/>
    </row>
    <row r="13" spans="1:20" ht="8.25" customHeight="1" x14ac:dyDescent="0.25">
      <c r="A13" s="20"/>
      <c r="B13" s="41"/>
      <c r="C13" s="55"/>
      <c r="D13" s="55"/>
      <c r="E13" s="55"/>
      <c r="F13" s="55"/>
      <c r="G13" s="55"/>
      <c r="H13" s="55"/>
      <c r="I13" s="55"/>
      <c r="J13" s="55"/>
      <c r="K13" s="21"/>
    </row>
    <row r="14" spans="1:20" ht="48" customHeight="1" x14ac:dyDescent="0.25">
      <c r="A14" s="20"/>
      <c r="B14" s="57" t="s">
        <v>57</v>
      </c>
      <c r="C14" s="58" t="s">
        <v>61</v>
      </c>
      <c r="D14" s="58"/>
      <c r="E14" s="58"/>
      <c r="F14" s="58"/>
      <c r="G14" s="58"/>
      <c r="H14" s="58"/>
      <c r="I14" s="58"/>
      <c r="J14" s="58"/>
      <c r="K14" s="21"/>
      <c r="M14" s="58" t="s">
        <v>54</v>
      </c>
      <c r="N14" s="58"/>
      <c r="O14" s="58"/>
      <c r="P14" s="58"/>
      <c r="Q14" s="58"/>
      <c r="R14" s="58"/>
      <c r="S14" s="58"/>
      <c r="T14" s="58"/>
    </row>
    <row r="15" spans="1:20" ht="6" customHeight="1" x14ac:dyDescent="0.25">
      <c r="A15" s="20"/>
      <c r="B15" s="42"/>
      <c r="C15" s="41"/>
      <c r="D15" s="41"/>
      <c r="E15" s="41"/>
      <c r="F15" s="41"/>
      <c r="G15" s="41"/>
      <c r="H15" s="41"/>
      <c r="I15" s="41"/>
      <c r="J15" s="41"/>
      <c r="K15" s="21"/>
    </row>
    <row r="16" spans="1:20" ht="20.100000000000001" customHeight="1" x14ac:dyDescent="0.35">
      <c r="A16" s="20"/>
      <c r="B16" s="68" t="s">
        <v>30</v>
      </c>
      <c r="C16" s="68"/>
      <c r="D16" s="68"/>
      <c r="E16" s="68"/>
      <c r="F16" s="68"/>
      <c r="G16" s="68"/>
      <c r="H16" s="68"/>
      <c r="I16" s="68"/>
      <c r="J16" s="68"/>
      <c r="K16" s="21"/>
    </row>
    <row r="17" spans="1:11" ht="4.5" customHeight="1" x14ac:dyDescent="0.25">
      <c r="A17" s="20"/>
      <c r="B17" s="60"/>
      <c r="C17" s="60"/>
      <c r="D17" s="60"/>
      <c r="E17" s="60"/>
      <c r="F17" s="60"/>
      <c r="G17" s="60"/>
      <c r="H17" s="60"/>
      <c r="I17" s="60"/>
      <c r="J17" s="60"/>
      <c r="K17" s="21"/>
    </row>
    <row r="18" spans="1:11" ht="3" customHeight="1" x14ac:dyDescent="0.25">
      <c r="A18" s="20"/>
      <c r="B18" s="60"/>
      <c r="C18" s="60"/>
      <c r="D18" s="60"/>
      <c r="E18" s="60"/>
      <c r="F18" s="60"/>
      <c r="G18" s="60"/>
      <c r="H18" s="60"/>
      <c r="I18" s="60"/>
      <c r="J18" s="60"/>
      <c r="K18" s="21"/>
    </row>
    <row r="19" spans="1:11" ht="20.100000000000001" customHeight="1" x14ac:dyDescent="0.25">
      <c r="A19" s="20"/>
      <c r="B19" s="69" t="s">
        <v>31</v>
      </c>
      <c r="C19" s="69"/>
      <c r="D19" s="69"/>
      <c r="E19" s="69"/>
      <c r="F19" s="69"/>
      <c r="G19" s="69"/>
      <c r="H19" s="69"/>
      <c r="I19" s="69"/>
      <c r="J19" s="69"/>
      <c r="K19" s="21"/>
    </row>
    <row r="20" spans="1:11" ht="20.100000000000001" customHeight="1" x14ac:dyDescent="0.35">
      <c r="A20" s="20"/>
      <c r="B20" s="70"/>
      <c r="C20" s="70"/>
      <c r="D20" s="70"/>
      <c r="E20" s="70"/>
      <c r="F20" s="70"/>
      <c r="G20" s="70"/>
      <c r="H20" s="70"/>
      <c r="I20" s="70"/>
      <c r="J20" s="70"/>
      <c r="K20" s="21"/>
    </row>
    <row r="21" spans="1:11" ht="81" customHeight="1" x14ac:dyDescent="0.25">
      <c r="A21" s="20"/>
      <c r="B21" s="71" t="s">
        <v>47</v>
      </c>
      <c r="C21" s="71"/>
      <c r="D21" s="71"/>
      <c r="E21" s="71"/>
      <c r="F21" s="71"/>
      <c r="G21" s="71"/>
      <c r="H21" s="71"/>
      <c r="I21" s="71"/>
      <c r="J21" s="71"/>
      <c r="K21" s="21"/>
    </row>
    <row r="22" spans="1:11" ht="9.75" customHeight="1" x14ac:dyDescent="0.35">
      <c r="A22" s="20"/>
      <c r="B22" s="28"/>
      <c r="C22" s="28"/>
      <c r="D22" s="28"/>
      <c r="E22" s="28"/>
      <c r="F22" s="28"/>
      <c r="G22" s="28"/>
      <c r="H22" s="28"/>
      <c r="I22" s="28"/>
      <c r="J22" s="28"/>
      <c r="K22" s="21"/>
    </row>
    <row r="23" spans="1:11" ht="76.5" customHeight="1" x14ac:dyDescent="0.25">
      <c r="A23" s="20"/>
      <c r="B23" s="23" t="s">
        <v>32</v>
      </c>
      <c r="C23" s="59" t="s">
        <v>59</v>
      </c>
      <c r="D23" s="72"/>
      <c r="E23" s="72"/>
      <c r="F23" s="72"/>
      <c r="G23" s="72"/>
      <c r="H23" s="72"/>
      <c r="I23" s="72"/>
      <c r="J23" s="72"/>
      <c r="K23" s="21"/>
    </row>
    <row r="24" spans="1:11" ht="7.5" customHeight="1" x14ac:dyDescent="0.25">
      <c r="A24" s="20"/>
      <c r="B24" s="67"/>
      <c r="C24" s="67"/>
      <c r="D24" s="67"/>
      <c r="E24" s="67"/>
      <c r="F24" s="67"/>
      <c r="G24" s="67"/>
      <c r="H24" s="67"/>
      <c r="I24" s="67"/>
      <c r="J24" s="67"/>
      <c r="K24" s="21"/>
    </row>
    <row r="25" spans="1:11" ht="82.5" customHeight="1" x14ac:dyDescent="0.25">
      <c r="A25" s="20"/>
      <c r="B25" s="77" t="s">
        <v>66</v>
      </c>
      <c r="C25" s="77"/>
      <c r="D25" s="77"/>
      <c r="E25" s="77"/>
      <c r="F25" s="77"/>
      <c r="G25" s="77"/>
      <c r="H25" s="77"/>
      <c r="I25" s="77"/>
      <c r="J25" s="29"/>
      <c r="K25" s="21"/>
    </row>
    <row r="26" spans="1:11" ht="7.5" customHeight="1" x14ac:dyDescent="0.25">
      <c r="A26" s="20"/>
      <c r="B26" s="51"/>
      <c r="C26" s="51"/>
      <c r="D26" s="51"/>
      <c r="E26" s="51"/>
      <c r="F26" s="51"/>
      <c r="G26" s="51"/>
      <c r="H26" s="51"/>
      <c r="I26" s="51"/>
      <c r="J26" s="29"/>
      <c r="K26" s="21"/>
    </row>
    <row r="27" spans="1:11" ht="24" customHeight="1" x14ac:dyDescent="0.25">
      <c r="A27" s="20"/>
      <c r="B27" s="81" t="s">
        <v>50</v>
      </c>
      <c r="C27" s="81"/>
      <c r="D27" s="81"/>
      <c r="E27" s="81"/>
      <c r="F27" s="81"/>
      <c r="G27" s="81"/>
      <c r="H27" s="81"/>
      <c r="I27" s="81"/>
      <c r="J27" s="81"/>
      <c r="K27" s="21"/>
    </row>
    <row r="28" spans="1:11" ht="7.5" customHeight="1" x14ac:dyDescent="0.35">
      <c r="A28" s="20"/>
      <c r="B28" s="70"/>
      <c r="C28" s="70"/>
      <c r="D28" s="70"/>
      <c r="E28" s="70"/>
      <c r="F28" s="70"/>
      <c r="G28" s="70"/>
      <c r="H28" s="70"/>
      <c r="I28" s="70"/>
      <c r="J28" s="70"/>
      <c r="K28" s="21"/>
    </row>
    <row r="29" spans="1:11" ht="35.25" customHeight="1" x14ac:dyDescent="0.25">
      <c r="A29" s="20"/>
      <c r="B29" s="81" t="s">
        <v>51</v>
      </c>
      <c r="C29" s="81"/>
      <c r="D29" s="81"/>
      <c r="E29" s="81"/>
      <c r="F29" s="81"/>
      <c r="G29" s="81"/>
      <c r="H29" s="81"/>
      <c r="I29" s="81"/>
      <c r="J29" s="81"/>
      <c r="K29" s="21"/>
    </row>
    <row r="30" spans="1:11" ht="27.75" customHeight="1" x14ac:dyDescent="0.25">
      <c r="A30" s="20"/>
      <c r="B30" s="82" t="s">
        <v>33</v>
      </c>
      <c r="C30" s="82"/>
      <c r="D30" s="83"/>
      <c r="E30" s="83"/>
      <c r="F30" s="83"/>
      <c r="G30" s="83"/>
      <c r="H30" s="83"/>
      <c r="I30" s="83"/>
      <c r="J30" s="83"/>
      <c r="K30" s="21"/>
    </row>
    <row r="31" spans="1:11" ht="9" customHeight="1" x14ac:dyDescent="0.25">
      <c r="A31" s="20"/>
      <c r="B31" s="60"/>
      <c r="C31" s="60"/>
      <c r="D31" s="60"/>
      <c r="E31" s="60"/>
      <c r="F31" s="60"/>
      <c r="G31" s="60"/>
      <c r="H31" s="60"/>
      <c r="I31" s="60"/>
      <c r="J31" s="60"/>
      <c r="K31" s="21"/>
    </row>
    <row r="32" spans="1:11" ht="20.100000000000001" customHeight="1" x14ac:dyDescent="0.25">
      <c r="A32" s="20"/>
      <c r="B32" s="74" t="s">
        <v>34</v>
      </c>
      <c r="C32" s="74"/>
      <c r="D32" s="74"/>
      <c r="E32" s="74"/>
      <c r="F32" s="74"/>
      <c r="G32" s="74"/>
      <c r="H32" s="74"/>
      <c r="I32" s="74"/>
      <c r="J32" s="74"/>
      <c r="K32" s="21"/>
    </row>
    <row r="33" spans="1:17" ht="20.100000000000001" customHeight="1" x14ac:dyDescent="0.25">
      <c r="A33" s="20"/>
      <c r="B33" s="60"/>
      <c r="C33" s="60"/>
      <c r="D33" s="60"/>
      <c r="E33" s="60"/>
      <c r="F33" s="60"/>
      <c r="G33" s="60"/>
      <c r="H33" s="60"/>
      <c r="I33" s="60"/>
      <c r="J33" s="60"/>
      <c r="K33" s="21"/>
    </row>
    <row r="34" spans="1:17" ht="20.100000000000001" customHeight="1" x14ac:dyDescent="0.25">
      <c r="A34" s="20"/>
      <c r="K34" s="21"/>
      <c r="Q34" t="s">
        <v>46</v>
      </c>
    </row>
    <row r="35" spans="1:17" ht="20.100000000000001" customHeight="1" x14ac:dyDescent="0.25">
      <c r="A35" s="20"/>
      <c r="B35" s="60"/>
      <c r="C35" s="60"/>
      <c r="D35" s="60"/>
      <c r="E35" s="60"/>
      <c r="F35" s="60"/>
      <c r="G35" s="60"/>
      <c r="H35" s="60"/>
      <c r="I35" s="60"/>
      <c r="J35" s="60"/>
      <c r="K35" s="21"/>
    </row>
    <row r="36" spans="1:17" ht="20.100000000000001" customHeight="1" x14ac:dyDescent="0.25">
      <c r="A36" s="20"/>
      <c r="B36" s="60"/>
      <c r="C36" s="60"/>
      <c r="D36" s="60"/>
      <c r="E36" s="60"/>
      <c r="F36" s="60"/>
      <c r="G36" s="60"/>
      <c r="H36" s="60"/>
      <c r="I36" s="60"/>
      <c r="J36" s="60"/>
      <c r="K36" s="21"/>
    </row>
    <row r="37" spans="1:17" ht="20.100000000000001" customHeight="1" x14ac:dyDescent="0.25">
      <c r="A37" s="20"/>
      <c r="B37" s="75" t="s">
        <v>22</v>
      </c>
      <c r="C37" s="75"/>
      <c r="E37" s="76"/>
      <c r="F37" s="76"/>
      <c r="G37" s="76"/>
      <c r="H37" s="75" t="s">
        <v>18</v>
      </c>
      <c r="I37" s="75"/>
      <c r="J37" s="75"/>
      <c r="K37" s="21"/>
    </row>
    <row r="38" spans="1:17" ht="20.100000000000001" customHeight="1" x14ac:dyDescent="0.25">
      <c r="A38" s="20"/>
      <c r="B38" s="78" t="s">
        <v>23</v>
      </c>
      <c r="C38" s="78"/>
      <c r="D38" s="24"/>
      <c r="E38" s="79"/>
      <c r="F38" s="79"/>
      <c r="G38" s="79"/>
      <c r="H38" s="24"/>
      <c r="I38" s="80"/>
      <c r="J38" s="80"/>
      <c r="K38" s="21"/>
    </row>
    <row r="39" spans="1:17" ht="15.75" thickBot="1" x14ac:dyDescent="0.3">
      <c r="A39" s="25"/>
      <c r="B39" s="73"/>
      <c r="C39" s="73"/>
      <c r="D39" s="73"/>
      <c r="E39" s="73"/>
      <c r="F39" s="73"/>
      <c r="G39" s="73"/>
      <c r="H39" s="73"/>
      <c r="I39" s="73"/>
      <c r="J39" s="73"/>
      <c r="K39" s="26"/>
    </row>
    <row r="40" spans="1:17" ht="15.75" thickTop="1" x14ac:dyDescent="0.25"/>
  </sheetData>
  <mergeCells count="38">
    <mergeCell ref="B25:I25"/>
    <mergeCell ref="B38:C38"/>
    <mergeCell ref="E38:G38"/>
    <mergeCell ref="I38:J38"/>
    <mergeCell ref="B27:J27"/>
    <mergeCell ref="B28:J28"/>
    <mergeCell ref="B29:J29"/>
    <mergeCell ref="B30:C30"/>
    <mergeCell ref="D30:J30"/>
    <mergeCell ref="B39:J39"/>
    <mergeCell ref="B31:J31"/>
    <mergeCell ref="B32:J32"/>
    <mergeCell ref="B33:J33"/>
    <mergeCell ref="B35:J35"/>
    <mergeCell ref="B36:J36"/>
    <mergeCell ref="B37:C37"/>
    <mergeCell ref="E37:G37"/>
    <mergeCell ref="H37:J37"/>
    <mergeCell ref="B1:H1"/>
    <mergeCell ref="B2:H2"/>
    <mergeCell ref="B24:J24"/>
    <mergeCell ref="B16:J16"/>
    <mergeCell ref="B17:J17"/>
    <mergeCell ref="B18:J18"/>
    <mergeCell ref="B19:J19"/>
    <mergeCell ref="B20:J20"/>
    <mergeCell ref="B21:J21"/>
    <mergeCell ref="C23:J23"/>
    <mergeCell ref="M14:T14"/>
    <mergeCell ref="C12:J12"/>
    <mergeCell ref="C14:J14"/>
    <mergeCell ref="B10:J10"/>
    <mergeCell ref="B3:J3"/>
    <mergeCell ref="B5:J5"/>
    <mergeCell ref="B6:J6"/>
    <mergeCell ref="B7:J7"/>
    <mergeCell ref="F9:J9"/>
    <mergeCell ref="C9:E9"/>
  </mergeCells>
  <printOptions horizontalCentered="1" verticalCentered="1"/>
  <pageMargins left="0.51181102362204722" right="0.19685039370078741" top="0" bottom="0.31496062992125984" header="0.31496062992125984" footer="0.31496062992125984"/>
  <pageSetup scale="73" orientation="portrait" horizontalDpi="4294967293" verticalDpi="360" r:id="rId1"/>
  <headerFooter scaleWithDoc="0">
    <oddFooter>&amp;C_________________________________________________________________________________________________
1a. Avenida 8-34 Residenciales Joya de Palencia, Palencia, Guatemala. Tels.: 5473-3871/4020-2271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533F1-6B54-4AEC-B284-E38EBCBA375C}">
  <sheetPr codeName="Hoja2">
    <tabColor rgb="FFC00000"/>
  </sheetPr>
  <dimension ref="A1:V39"/>
  <sheetViews>
    <sheetView topLeftCell="A13" zoomScaleNormal="100" zoomScaleSheetLayoutView="55" zoomScalePageLayoutView="25" workbookViewId="0">
      <selection activeCell="R21" sqref="R21"/>
    </sheetView>
  </sheetViews>
  <sheetFormatPr baseColWidth="10" defaultColWidth="11.42578125" defaultRowHeight="14.25" x14ac:dyDescent="0.2"/>
  <cols>
    <col min="1" max="1" width="15.28515625" style="1" customWidth="1"/>
    <col min="2" max="2" width="24" style="1" bestFit="1" customWidth="1"/>
    <col min="3" max="3" width="31.5703125" style="1" customWidth="1"/>
    <col min="4" max="4" width="20.85546875" style="1" customWidth="1"/>
    <col min="5" max="5" width="22.140625" style="1" customWidth="1"/>
    <col min="6" max="6" width="19.42578125" style="1" customWidth="1"/>
    <col min="7" max="7" width="21" style="1" bestFit="1" customWidth="1"/>
    <col min="8" max="8" width="16.85546875" style="1" customWidth="1"/>
    <col min="9" max="9" width="18.7109375" style="1" customWidth="1"/>
    <col min="10" max="10" width="21.5703125" style="1" customWidth="1"/>
    <col min="11" max="11" width="21.28515625" style="1" customWidth="1"/>
    <col min="12" max="12" width="11.42578125" style="1"/>
    <col min="13" max="13" width="13.42578125" style="1" customWidth="1"/>
    <col min="14" max="16384" width="11.42578125" style="1"/>
  </cols>
  <sheetData>
    <row r="1" spans="1:17" ht="14.25" customHeight="1" x14ac:dyDescent="0.2">
      <c r="A1" s="85" t="str">
        <f>INFORME!B1</f>
        <v>MULTISERVICIOS VIVEL</v>
      </c>
      <c r="B1" s="85"/>
      <c r="C1" s="85"/>
      <c r="D1" s="85"/>
      <c r="E1" s="85"/>
      <c r="F1" s="85"/>
      <c r="G1" s="85"/>
      <c r="H1" s="85"/>
      <c r="I1" s="85"/>
      <c r="J1" s="85"/>
    </row>
    <row r="2" spans="1:17" ht="22.5" customHeight="1" x14ac:dyDescent="0.2">
      <c r="A2" s="85"/>
      <c r="B2" s="85"/>
      <c r="C2" s="85"/>
      <c r="D2" s="85"/>
      <c r="E2" s="85"/>
      <c r="F2" s="85"/>
      <c r="G2" s="85"/>
      <c r="H2" s="85"/>
      <c r="I2" s="85"/>
      <c r="J2" s="85"/>
    </row>
    <row r="3" spans="1:17" ht="20.25" customHeight="1" x14ac:dyDescent="0.2"/>
    <row r="4" spans="1:17" ht="21.95" customHeight="1" x14ac:dyDescent="0.35">
      <c r="A4" s="61" t="s">
        <v>2</v>
      </c>
      <c r="B4" s="61"/>
      <c r="C4" s="61"/>
      <c r="D4" s="61"/>
      <c r="E4" s="61"/>
      <c r="F4" s="61"/>
      <c r="G4" s="61"/>
      <c r="H4" s="61"/>
      <c r="I4" s="61"/>
      <c r="J4" s="61"/>
    </row>
    <row r="5" spans="1:17" ht="21.95" customHeight="1" x14ac:dyDescent="0.35">
      <c r="A5" s="9"/>
      <c r="B5" s="9"/>
      <c r="C5" s="9"/>
      <c r="D5" s="9"/>
      <c r="E5" s="9"/>
      <c r="F5" s="9"/>
      <c r="G5" s="9"/>
      <c r="H5" s="9"/>
      <c r="I5" s="9"/>
      <c r="J5" s="9"/>
    </row>
    <row r="6" spans="1:17" ht="27.95" customHeight="1" x14ac:dyDescent="0.2">
      <c r="A6" s="84"/>
      <c r="B6" s="84"/>
      <c r="C6" s="84"/>
      <c r="D6" s="84"/>
      <c r="E6" s="84"/>
      <c r="F6" s="84"/>
      <c r="G6" s="84"/>
      <c r="H6" s="84"/>
      <c r="I6" s="84"/>
      <c r="J6" s="84"/>
    </row>
    <row r="7" spans="1:17" ht="27.95" customHeight="1" x14ac:dyDescent="0.2">
      <c r="A7" s="86" t="s">
        <v>16</v>
      </c>
      <c r="B7" s="86"/>
      <c r="C7" s="86"/>
      <c r="D7" s="86"/>
      <c r="E7" s="86"/>
      <c r="F7" s="86"/>
      <c r="G7" s="86"/>
      <c r="H7" s="86"/>
      <c r="I7" s="86"/>
      <c r="J7" s="86"/>
    </row>
    <row r="8" spans="1:17" ht="27.95" customHeight="1" x14ac:dyDescent="0.2">
      <c r="A8" s="84" t="s">
        <v>8</v>
      </c>
      <c r="B8" s="84"/>
      <c r="C8" s="84"/>
      <c r="D8" s="84"/>
      <c r="E8" s="84"/>
      <c r="F8" s="84"/>
      <c r="G8" s="84"/>
      <c r="H8" s="84"/>
      <c r="I8" s="84"/>
      <c r="J8" s="84"/>
    </row>
    <row r="9" spans="1:17" ht="27.95" customHeight="1" x14ac:dyDescent="0.2">
      <c r="A9" s="84" t="s">
        <v>17</v>
      </c>
      <c r="B9" s="84"/>
      <c r="C9" s="84"/>
      <c r="D9" s="84"/>
      <c r="E9" s="84"/>
      <c r="F9" s="84"/>
      <c r="G9" s="84"/>
      <c r="H9" s="84"/>
      <c r="I9" s="84"/>
      <c r="J9" s="84"/>
    </row>
    <row r="10" spans="1:17" ht="8.25" customHeight="1" x14ac:dyDescent="0.2"/>
    <row r="11" spans="1:17" ht="35.1" customHeight="1" x14ac:dyDescent="0.2">
      <c r="A11" s="87" t="s">
        <v>11</v>
      </c>
      <c r="B11" s="88"/>
      <c r="C11" s="89" t="str">
        <f>INFORME!C12</f>
        <v>MUNICIPALIDAD DE ZUNILITO, SUCHITEPEQUEZ</v>
      </c>
      <c r="D11" s="90"/>
      <c r="E11" s="90"/>
      <c r="F11" s="90"/>
      <c r="G11" s="90"/>
      <c r="H11" s="90"/>
      <c r="I11" s="90"/>
      <c r="J11" s="90"/>
      <c r="K11" s="91"/>
    </row>
    <row r="12" spans="1:17" ht="35.1" customHeight="1" x14ac:dyDescent="0.2">
      <c r="A12" s="87" t="s">
        <v>52</v>
      </c>
      <c r="B12" s="88"/>
      <c r="C12" s="89" t="str">
        <f>INFORME!C14</f>
        <v>MVC MAURICIO VALDEZ CONSTRUCCIONES</v>
      </c>
      <c r="D12" s="90"/>
      <c r="E12" s="90"/>
      <c r="F12" s="90"/>
      <c r="G12" s="90"/>
      <c r="H12" s="90"/>
      <c r="I12" s="90"/>
      <c r="J12" s="90"/>
      <c r="K12" s="91"/>
    </row>
    <row r="13" spans="1:17" ht="61.5" customHeight="1" x14ac:dyDescent="1.3">
      <c r="A13" s="92" t="s">
        <v>9</v>
      </c>
      <c r="B13" s="93"/>
      <c r="C13" s="94" t="str">
        <f>INFORME!C23</f>
        <v>AMPLIACION SISTEMA DE ALCANTARILLADO SANITARIO SECTOR I, ALDEA SAN LORENCITO, ZUNILITO, SUCHITEPEQUEZ</v>
      </c>
      <c r="D13" s="95"/>
      <c r="E13" s="95"/>
      <c r="F13" s="95"/>
      <c r="G13" s="95"/>
      <c r="H13" s="95"/>
      <c r="I13" s="95"/>
      <c r="J13" s="95"/>
      <c r="K13" s="96"/>
      <c r="N13" s="11"/>
      <c r="O13" s="12"/>
      <c r="P13" s="13"/>
      <c r="Q13" s="14"/>
    </row>
    <row r="14" spans="1:17" ht="35.1" customHeight="1" x14ac:dyDescent="0.2">
      <c r="A14" s="97" t="s">
        <v>10</v>
      </c>
      <c r="B14" s="98"/>
      <c r="C14" s="99" t="s">
        <v>62</v>
      </c>
      <c r="D14" s="100"/>
      <c r="E14" s="100"/>
      <c r="F14" s="100"/>
      <c r="G14" s="100"/>
      <c r="H14" s="100"/>
      <c r="I14" s="100"/>
      <c r="J14" s="100"/>
      <c r="K14" s="101"/>
    </row>
    <row r="15" spans="1:17" ht="35.1" customHeight="1" x14ac:dyDescent="0.2">
      <c r="A15" s="102" t="s">
        <v>36</v>
      </c>
      <c r="B15" s="102"/>
      <c r="C15" s="52" t="s">
        <v>53</v>
      </c>
      <c r="D15" s="49">
        <v>3000</v>
      </c>
      <c r="E15" s="50" t="s">
        <v>12</v>
      </c>
      <c r="F15" s="103" t="s">
        <v>48</v>
      </c>
      <c r="G15" s="104"/>
      <c r="H15" s="103" t="s">
        <v>58</v>
      </c>
      <c r="I15" s="105"/>
      <c r="J15" s="49">
        <v>4060</v>
      </c>
      <c r="K15" s="50" t="s">
        <v>12</v>
      </c>
    </row>
    <row r="16" spans="1:17" ht="35.1" customHeight="1" x14ac:dyDescent="0.2">
      <c r="A16" s="106" t="s">
        <v>28</v>
      </c>
      <c r="B16" s="106"/>
      <c r="C16" s="107">
        <v>45876</v>
      </c>
      <c r="D16" s="108"/>
      <c r="E16" s="109"/>
      <c r="F16" s="110" t="s">
        <v>15</v>
      </c>
      <c r="G16" s="111"/>
      <c r="H16" s="112">
        <f>+C23</f>
        <v>45904</v>
      </c>
      <c r="I16" s="112"/>
      <c r="J16" s="108"/>
      <c r="K16" s="109"/>
    </row>
    <row r="17" spans="1:22" ht="45" hidden="1" customHeight="1" x14ac:dyDescent="0.2">
      <c r="A17" s="113" t="s">
        <v>24</v>
      </c>
      <c r="B17" s="114"/>
      <c r="C17" s="16" t="s">
        <v>26</v>
      </c>
      <c r="D17" s="16" t="s">
        <v>27</v>
      </c>
      <c r="E17" s="115" t="s">
        <v>25</v>
      </c>
      <c r="F17" s="115"/>
      <c r="G17" s="115"/>
      <c r="H17" s="116"/>
      <c r="I17" s="116"/>
      <c r="J17" s="116"/>
      <c r="K17" s="117"/>
    </row>
    <row r="18" spans="1:22" ht="27.95" customHeight="1" x14ac:dyDescent="0.2">
      <c r="A18" s="119" t="s">
        <v>19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1"/>
    </row>
    <row r="19" spans="1:22" ht="52.5" customHeight="1" x14ac:dyDescent="0.2">
      <c r="A19" s="122" t="s">
        <v>1</v>
      </c>
      <c r="B19" s="123" t="s">
        <v>43</v>
      </c>
      <c r="C19" s="123" t="s">
        <v>44</v>
      </c>
      <c r="D19" s="31" t="s">
        <v>3</v>
      </c>
      <c r="E19" s="30" t="s">
        <v>45</v>
      </c>
      <c r="F19" s="30" t="s">
        <v>41</v>
      </c>
      <c r="G19" s="31" t="s">
        <v>4</v>
      </c>
      <c r="H19" s="122" t="s">
        <v>39</v>
      </c>
      <c r="I19" s="123" t="s">
        <v>37</v>
      </c>
      <c r="J19" s="32" t="s">
        <v>5</v>
      </c>
      <c r="K19" s="33" t="s">
        <v>42</v>
      </c>
    </row>
    <row r="20" spans="1:22" ht="39.950000000000003" customHeight="1" x14ac:dyDescent="0.35">
      <c r="A20" s="122"/>
      <c r="B20" s="124"/>
      <c r="C20" s="124"/>
      <c r="D20" s="31" t="s">
        <v>6</v>
      </c>
      <c r="E20" s="31" t="s">
        <v>40</v>
      </c>
      <c r="F20" s="31" t="s">
        <v>14</v>
      </c>
      <c r="G20" s="31" t="s">
        <v>7</v>
      </c>
      <c r="H20" s="122"/>
      <c r="I20" s="124"/>
      <c r="J20" s="31" t="s">
        <v>12</v>
      </c>
      <c r="K20" s="34" t="s">
        <v>13</v>
      </c>
    </row>
    <row r="21" spans="1:22" ht="39.950000000000003" customHeight="1" x14ac:dyDescent="0.4">
      <c r="A21" s="35">
        <v>1</v>
      </c>
      <c r="B21" s="36">
        <f>$C$16</f>
        <v>45876</v>
      </c>
      <c r="C21" s="37">
        <f t="shared" ref="C21:C22" si="0">B21+D21</f>
        <v>45883</v>
      </c>
      <c r="D21" s="38">
        <v>7</v>
      </c>
      <c r="E21" s="39">
        <v>28.17</v>
      </c>
      <c r="F21" s="39">
        <v>5.95</v>
      </c>
      <c r="G21" s="39">
        <v>27.81</v>
      </c>
      <c r="H21" s="35">
        <v>5</v>
      </c>
      <c r="I21" s="40">
        <v>61486</v>
      </c>
      <c r="J21" s="40">
        <v>2211</v>
      </c>
      <c r="K21" s="53">
        <f>J21/D15</f>
        <v>0.73699999999999999</v>
      </c>
      <c r="M21" s="1" t="s">
        <v>21</v>
      </c>
      <c r="N21" s="1">
        <v>101900</v>
      </c>
      <c r="O21" s="1">
        <v>107350</v>
      </c>
    </row>
    <row r="22" spans="1:22" ht="39.950000000000003" customHeight="1" x14ac:dyDescent="0.4">
      <c r="A22" s="35">
        <v>2</v>
      </c>
      <c r="B22" s="43">
        <f t="shared" ref="B22:B23" si="1">$C$16</f>
        <v>45876</v>
      </c>
      <c r="C22" s="44">
        <f t="shared" si="0"/>
        <v>45890</v>
      </c>
      <c r="D22" s="45">
        <v>14</v>
      </c>
      <c r="E22" s="46">
        <v>29.18</v>
      </c>
      <c r="F22" s="46">
        <v>5.91</v>
      </c>
      <c r="G22" s="46">
        <v>27.43</v>
      </c>
      <c r="H22" s="47">
        <v>1</v>
      </c>
      <c r="I22" s="48">
        <v>78061</v>
      </c>
      <c r="J22" s="48">
        <v>2846</v>
      </c>
      <c r="K22" s="53">
        <f>J22/D15</f>
        <v>0.94866666666666666</v>
      </c>
      <c r="M22" s="1" t="s">
        <v>20</v>
      </c>
      <c r="N22" s="1">
        <v>79500</v>
      </c>
      <c r="O22" s="1">
        <v>84750</v>
      </c>
    </row>
    <row r="23" spans="1:22" ht="39.950000000000003" customHeight="1" x14ac:dyDescent="0.4">
      <c r="A23" s="35">
        <v>3</v>
      </c>
      <c r="B23" s="43">
        <f t="shared" si="1"/>
        <v>45876</v>
      </c>
      <c r="C23" s="44">
        <f>B23+D23</f>
        <v>45904</v>
      </c>
      <c r="D23" s="45">
        <v>28</v>
      </c>
      <c r="E23" s="46">
        <v>29.64</v>
      </c>
      <c r="F23" s="46">
        <v>5.94</v>
      </c>
      <c r="G23" s="46">
        <v>27.71</v>
      </c>
      <c r="H23" s="47">
        <v>2</v>
      </c>
      <c r="I23" s="48">
        <v>90100</v>
      </c>
      <c r="J23" s="48">
        <v>3252</v>
      </c>
      <c r="K23" s="53">
        <f>J23/D15</f>
        <v>1.0840000000000001</v>
      </c>
      <c r="M23" s="1" t="s">
        <v>21</v>
      </c>
      <c r="N23" s="1">
        <v>101900</v>
      </c>
      <c r="O23" s="1">
        <v>107350</v>
      </c>
    </row>
    <row r="24" spans="1:22" ht="18" customHeight="1" x14ac:dyDescent="0.2">
      <c r="A24" s="8"/>
      <c r="B24" s="8"/>
      <c r="C24" s="8"/>
      <c r="D24" s="8"/>
      <c r="E24" s="8"/>
      <c r="F24" s="8"/>
      <c r="G24" s="8"/>
      <c r="H24" s="7"/>
      <c r="I24" s="7"/>
      <c r="J24" s="7"/>
      <c r="K24" s="2"/>
      <c r="N24" s="6"/>
      <c r="O24" s="6"/>
      <c r="P24" s="6"/>
      <c r="Q24" s="6"/>
      <c r="R24" s="6"/>
      <c r="S24" s="6"/>
      <c r="T24" s="6"/>
      <c r="U24" s="6"/>
      <c r="V24" s="6"/>
    </row>
    <row r="25" spans="1:22" ht="18" customHeight="1" x14ac:dyDescent="0.2">
      <c r="A25" s="125" t="s">
        <v>0</v>
      </c>
      <c r="B25" s="125"/>
      <c r="C25" s="126" t="s">
        <v>49</v>
      </c>
      <c r="D25" s="126"/>
      <c r="E25" s="126"/>
      <c r="F25" s="126"/>
      <c r="G25" s="126"/>
      <c r="H25" s="126"/>
      <c r="I25" s="126"/>
      <c r="J25" s="126"/>
      <c r="K25" s="126"/>
      <c r="N25" s="6"/>
      <c r="O25" s="6"/>
      <c r="P25" s="6"/>
      <c r="Q25" s="6"/>
      <c r="R25" s="6"/>
      <c r="S25" s="6"/>
      <c r="T25" s="6"/>
      <c r="U25" s="6"/>
      <c r="V25" s="6"/>
    </row>
    <row r="26" spans="1:22" ht="18" customHeight="1" x14ac:dyDescent="0.2">
      <c r="B26" s="6"/>
      <c r="C26" s="126"/>
      <c r="D26" s="126"/>
      <c r="E26" s="126"/>
      <c r="F26" s="126"/>
      <c r="G26" s="126"/>
      <c r="H26" s="126"/>
      <c r="I26" s="126"/>
      <c r="J26" s="126"/>
      <c r="K26" s="126"/>
    </row>
    <row r="27" spans="1:22" ht="18" customHeight="1" x14ac:dyDescent="0.2">
      <c r="A27" s="4"/>
      <c r="B27" s="6"/>
      <c r="C27" s="126"/>
      <c r="D27" s="126"/>
      <c r="E27" s="126"/>
      <c r="F27" s="126"/>
      <c r="G27" s="126"/>
      <c r="H27" s="126"/>
      <c r="I27" s="126"/>
      <c r="J27" s="126"/>
      <c r="K27" s="126"/>
    </row>
    <row r="28" spans="1:22" ht="18" customHeight="1" x14ac:dyDescent="0.2">
      <c r="A28" s="4"/>
      <c r="B28" s="6"/>
      <c r="C28" s="54"/>
      <c r="D28" s="54"/>
      <c r="E28" s="54"/>
      <c r="F28" s="54"/>
      <c r="G28" s="54"/>
      <c r="H28" s="54"/>
      <c r="I28" s="54"/>
      <c r="J28" s="54"/>
      <c r="K28" s="54"/>
    </row>
    <row r="29" spans="1:22" ht="18" customHeight="1" x14ac:dyDescent="0.2">
      <c r="A29" s="4"/>
      <c r="B29" s="6"/>
      <c r="C29" s="54"/>
      <c r="D29" s="54"/>
      <c r="E29" s="54"/>
      <c r="F29" s="54"/>
      <c r="G29" s="54"/>
      <c r="H29" s="54"/>
      <c r="I29" s="54"/>
      <c r="J29" s="54"/>
      <c r="K29" s="54"/>
    </row>
    <row r="30" spans="1:22" ht="18" customHeight="1" x14ac:dyDescent="0.2">
      <c r="A30" s="4"/>
      <c r="B30" s="6"/>
      <c r="C30" s="54"/>
      <c r="D30" s="54"/>
      <c r="E30" s="54"/>
      <c r="F30" s="54"/>
      <c r="G30" s="54"/>
      <c r="H30" s="54"/>
      <c r="I30" s="54"/>
      <c r="J30" s="54"/>
      <c r="K30" s="54"/>
    </row>
    <row r="31" spans="1:22" ht="18" customHeight="1" x14ac:dyDescent="0.2">
      <c r="A31" s="4"/>
      <c r="B31" s="6"/>
      <c r="C31" s="54"/>
      <c r="D31" s="54"/>
      <c r="E31" s="54"/>
      <c r="F31" s="54"/>
      <c r="G31" s="54"/>
      <c r="H31" s="54"/>
      <c r="I31" s="54"/>
      <c r="J31" s="54"/>
      <c r="K31" s="54"/>
    </row>
    <row r="32" spans="1:22" ht="18" customHeight="1" x14ac:dyDescent="0.2">
      <c r="A32" s="4"/>
      <c r="B32" s="6"/>
      <c r="C32" s="10"/>
      <c r="D32" s="10"/>
      <c r="E32" s="10"/>
      <c r="F32" s="10"/>
      <c r="G32" s="10"/>
      <c r="H32" s="10"/>
      <c r="I32" s="10"/>
      <c r="J32" s="10"/>
      <c r="K32" s="10"/>
    </row>
    <row r="33" spans="1:11" ht="15.95" customHeight="1" x14ac:dyDescent="0.2">
      <c r="A33" s="4"/>
      <c r="B33" s="4"/>
      <c r="C33" s="4"/>
      <c r="D33" s="4"/>
      <c r="E33" s="4"/>
      <c r="F33" s="4"/>
      <c r="G33" s="4"/>
      <c r="H33" s="3"/>
      <c r="I33" s="3"/>
      <c r="J33" s="3"/>
    </row>
    <row r="34" spans="1:11" ht="15.95" customHeight="1" x14ac:dyDescent="0.2">
      <c r="A34" s="4"/>
      <c r="B34" s="4"/>
      <c r="C34" s="4"/>
      <c r="D34" s="4"/>
      <c r="E34" s="4"/>
      <c r="F34" s="4"/>
      <c r="G34" s="4"/>
      <c r="H34" s="3"/>
      <c r="I34" s="3"/>
      <c r="J34" s="3"/>
    </row>
    <row r="35" spans="1:11" ht="15.95" customHeight="1" x14ac:dyDescent="0.2">
      <c r="A35" s="4"/>
      <c r="B35" s="4"/>
      <c r="C35" s="4"/>
      <c r="D35" s="4"/>
      <c r="E35" s="4"/>
      <c r="F35" s="4"/>
      <c r="G35" s="4"/>
      <c r="H35" s="3"/>
      <c r="I35" s="3"/>
      <c r="J35" s="3"/>
    </row>
    <row r="36" spans="1:11" ht="15.95" customHeight="1" x14ac:dyDescent="0.3">
      <c r="A36" s="127"/>
      <c r="B36" s="127"/>
      <c r="C36" s="5"/>
      <c r="D36" s="5"/>
      <c r="E36" s="5"/>
      <c r="F36" s="5"/>
      <c r="G36" s="5"/>
    </row>
    <row r="37" spans="1:11" ht="27.75" customHeight="1" x14ac:dyDescent="0.35">
      <c r="A37" s="128" t="s">
        <v>22</v>
      </c>
      <c r="B37" s="128"/>
      <c r="C37" s="128"/>
      <c r="D37" s="9"/>
      <c r="E37" s="9"/>
      <c r="F37" s="9"/>
      <c r="G37" s="15"/>
      <c r="J37" s="128" t="s">
        <v>18</v>
      </c>
      <c r="K37" s="128"/>
    </row>
    <row r="38" spans="1:11" ht="24" customHeight="1" x14ac:dyDescent="0.35">
      <c r="A38" s="118" t="s">
        <v>23</v>
      </c>
      <c r="B38" s="118"/>
      <c r="C38" s="118"/>
      <c r="D38" s="9"/>
      <c r="E38" s="9"/>
      <c r="F38" s="9"/>
      <c r="G38" s="9"/>
      <c r="H38" s="9"/>
      <c r="I38" s="9"/>
      <c r="J38" s="9"/>
      <c r="K38" s="9"/>
    </row>
    <row r="39" spans="1:11" ht="15" customHeight="1" x14ac:dyDescent="0.2"/>
  </sheetData>
  <mergeCells count="36">
    <mergeCell ref="A38:C38"/>
    <mergeCell ref="A18:K18"/>
    <mergeCell ref="A19:A20"/>
    <mergeCell ref="B19:B20"/>
    <mergeCell ref="C19:C20"/>
    <mergeCell ref="H19:H20"/>
    <mergeCell ref="I19:I20"/>
    <mergeCell ref="A25:B25"/>
    <mergeCell ref="C25:K27"/>
    <mergeCell ref="A36:B36"/>
    <mergeCell ref="A37:C37"/>
    <mergeCell ref="J37:K37"/>
    <mergeCell ref="A16:B16"/>
    <mergeCell ref="C16:E16"/>
    <mergeCell ref="F16:G16"/>
    <mergeCell ref="H16:K16"/>
    <mergeCell ref="A17:B17"/>
    <mergeCell ref="E17:G17"/>
    <mergeCell ref="H17:K17"/>
    <mergeCell ref="A13:B13"/>
    <mergeCell ref="C13:K13"/>
    <mergeCell ref="A14:B14"/>
    <mergeCell ref="C14:K14"/>
    <mergeCell ref="A15:B15"/>
    <mergeCell ref="F15:G15"/>
    <mergeCell ref="H15:I15"/>
    <mergeCell ref="A11:B11"/>
    <mergeCell ref="C11:K11"/>
    <mergeCell ref="A12:B12"/>
    <mergeCell ref="C12:K12"/>
    <mergeCell ref="A9:J9"/>
    <mergeCell ref="A1:J2"/>
    <mergeCell ref="A4:J4"/>
    <mergeCell ref="A6:J6"/>
    <mergeCell ref="A7:J7"/>
    <mergeCell ref="A8:J8"/>
  </mergeCells>
  <printOptions horizontalCentered="1" verticalCentered="1"/>
  <pageMargins left="0.39370078740157483" right="0.39370078740157483" top="0.59055118110236227" bottom="0.39370078740157483" header="0.31496062992125984" footer="0.31496062992125984"/>
  <pageSetup scale="55" orientation="landscape" horizontalDpi="360" verticalDpi="360" r:id="rId1"/>
  <headerFooter scaleWithDoc="0">
    <oddFooter>&amp;C_________________________________________________________________________________________________
1a. Avenida 8-34 Residenciales Joya de Palencia, Palencia, Guatemala. Tels.: 5473-3871/4020-2271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14]!Cilindros">
                <anchor moveWithCells="1">
                  <from>
                    <xdr:col>12</xdr:col>
                    <xdr:colOff>219075</xdr:colOff>
                    <xdr:row>10</xdr:row>
                    <xdr:rowOff>180975</xdr:rowOff>
                  </from>
                  <to>
                    <xdr:col>14</xdr:col>
                    <xdr:colOff>95250</xdr:colOff>
                    <xdr:row>11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89312-DA72-4166-8EA8-2E3569FBA758}">
  <sheetPr codeName="Hoja3">
    <tabColor rgb="FFC00000"/>
  </sheetPr>
  <dimension ref="A1:V39"/>
  <sheetViews>
    <sheetView topLeftCell="E15" zoomScaleNormal="100" zoomScaleSheetLayoutView="55" zoomScalePageLayoutView="25" workbookViewId="0">
      <selection activeCell="R21" sqref="R21"/>
    </sheetView>
  </sheetViews>
  <sheetFormatPr baseColWidth="10" defaultColWidth="11.42578125" defaultRowHeight="14.25" x14ac:dyDescent="0.2"/>
  <cols>
    <col min="1" max="1" width="15.28515625" style="1" customWidth="1"/>
    <col min="2" max="2" width="24" style="1" bestFit="1" customWidth="1"/>
    <col min="3" max="3" width="31.5703125" style="1" customWidth="1"/>
    <col min="4" max="4" width="20.85546875" style="1" customWidth="1"/>
    <col min="5" max="5" width="22.140625" style="1" customWidth="1"/>
    <col min="6" max="6" width="19.42578125" style="1" customWidth="1"/>
    <col min="7" max="7" width="21" style="1" bestFit="1" customWidth="1"/>
    <col min="8" max="8" width="16.85546875" style="1" customWidth="1"/>
    <col min="9" max="9" width="18.7109375" style="1" customWidth="1"/>
    <col min="10" max="10" width="21.5703125" style="1" customWidth="1"/>
    <col min="11" max="11" width="21.28515625" style="1" customWidth="1"/>
    <col min="12" max="12" width="11.42578125" style="1"/>
    <col min="13" max="13" width="13.42578125" style="1" customWidth="1"/>
    <col min="14" max="16384" width="11.42578125" style="1"/>
  </cols>
  <sheetData>
    <row r="1" spans="1:17" ht="14.25" customHeight="1" x14ac:dyDescent="0.2">
      <c r="A1" s="85" t="str">
        <f>INFORME!B1</f>
        <v>MULTISERVICIOS VIVEL</v>
      </c>
      <c r="B1" s="85"/>
      <c r="C1" s="85"/>
      <c r="D1" s="85"/>
      <c r="E1" s="85"/>
      <c r="F1" s="85"/>
      <c r="G1" s="85"/>
      <c r="H1" s="85"/>
      <c r="I1" s="85"/>
      <c r="J1" s="85"/>
    </row>
    <row r="2" spans="1:17" ht="22.5" customHeight="1" x14ac:dyDescent="0.2">
      <c r="A2" s="85"/>
      <c r="B2" s="85"/>
      <c r="C2" s="85"/>
      <c r="D2" s="85"/>
      <c r="E2" s="85"/>
      <c r="F2" s="85"/>
      <c r="G2" s="85"/>
      <c r="H2" s="85"/>
      <c r="I2" s="85"/>
      <c r="J2" s="85"/>
    </row>
    <row r="3" spans="1:17" ht="20.25" customHeight="1" x14ac:dyDescent="0.2"/>
    <row r="4" spans="1:17" ht="21.95" customHeight="1" x14ac:dyDescent="0.35">
      <c r="A4" s="61" t="s">
        <v>2</v>
      </c>
      <c r="B4" s="61"/>
      <c r="C4" s="61"/>
      <c r="D4" s="61"/>
      <c r="E4" s="61"/>
      <c r="F4" s="61"/>
      <c r="G4" s="61"/>
      <c r="H4" s="61"/>
      <c r="I4" s="61"/>
      <c r="J4" s="61"/>
    </row>
    <row r="5" spans="1:17" ht="21.95" customHeight="1" x14ac:dyDescent="0.35">
      <c r="A5" s="9"/>
      <c r="B5" s="9"/>
      <c r="C5" s="9"/>
      <c r="D5" s="9"/>
      <c r="E5" s="9"/>
      <c r="F5" s="9"/>
      <c r="G5" s="9"/>
      <c r="H5" s="9"/>
      <c r="I5" s="9"/>
      <c r="J5" s="9"/>
    </row>
    <row r="6" spans="1:17" ht="27.95" customHeight="1" x14ac:dyDescent="0.2">
      <c r="A6" s="84"/>
      <c r="B6" s="84"/>
      <c r="C6" s="84"/>
      <c r="D6" s="84"/>
      <c r="E6" s="84"/>
      <c r="F6" s="84"/>
      <c r="G6" s="84"/>
      <c r="H6" s="84"/>
      <c r="I6" s="84"/>
      <c r="J6" s="84"/>
    </row>
    <row r="7" spans="1:17" ht="27.95" customHeight="1" x14ac:dyDescent="0.2">
      <c r="A7" s="86" t="s">
        <v>16</v>
      </c>
      <c r="B7" s="86"/>
      <c r="C7" s="86"/>
      <c r="D7" s="86"/>
      <c r="E7" s="86"/>
      <c r="F7" s="86"/>
      <c r="G7" s="86"/>
      <c r="H7" s="86"/>
      <c r="I7" s="86"/>
      <c r="J7" s="86"/>
    </row>
    <row r="8" spans="1:17" ht="27.95" customHeight="1" x14ac:dyDescent="0.2">
      <c r="A8" s="84" t="s">
        <v>8</v>
      </c>
      <c r="B8" s="84"/>
      <c r="C8" s="84"/>
      <c r="D8" s="84"/>
      <c r="E8" s="84"/>
      <c r="F8" s="84"/>
      <c r="G8" s="84"/>
      <c r="H8" s="84"/>
      <c r="I8" s="84"/>
      <c r="J8" s="84"/>
    </row>
    <row r="9" spans="1:17" ht="27.95" customHeight="1" x14ac:dyDescent="0.2">
      <c r="A9" s="84" t="s">
        <v>17</v>
      </c>
      <c r="B9" s="84"/>
      <c r="C9" s="84"/>
      <c r="D9" s="84"/>
      <c r="E9" s="84"/>
      <c r="F9" s="84"/>
      <c r="G9" s="84"/>
      <c r="H9" s="84"/>
      <c r="I9" s="84"/>
      <c r="J9" s="84"/>
    </row>
    <row r="10" spans="1:17" ht="8.25" customHeight="1" x14ac:dyDescent="0.2"/>
    <row r="11" spans="1:17" ht="35.1" customHeight="1" x14ac:dyDescent="0.2">
      <c r="A11" s="87" t="s">
        <v>11</v>
      </c>
      <c r="B11" s="88"/>
      <c r="C11" s="89" t="str">
        <f>INFORME!C12</f>
        <v>MUNICIPALIDAD DE ZUNILITO, SUCHITEPEQUEZ</v>
      </c>
      <c r="D11" s="90"/>
      <c r="E11" s="90"/>
      <c r="F11" s="90"/>
      <c r="G11" s="90"/>
      <c r="H11" s="90"/>
      <c r="I11" s="90"/>
      <c r="J11" s="90"/>
      <c r="K11" s="91"/>
    </row>
    <row r="12" spans="1:17" ht="35.1" customHeight="1" x14ac:dyDescent="0.2">
      <c r="A12" s="87" t="s">
        <v>52</v>
      </c>
      <c r="B12" s="88"/>
      <c r="C12" s="89" t="str">
        <f>INFORME!C14</f>
        <v>MVC MAURICIO VALDEZ CONSTRUCCIONES</v>
      </c>
      <c r="D12" s="90"/>
      <c r="E12" s="90"/>
      <c r="F12" s="90"/>
      <c r="G12" s="90"/>
      <c r="H12" s="90"/>
      <c r="I12" s="90"/>
      <c r="J12" s="90"/>
      <c r="K12" s="91"/>
    </row>
    <row r="13" spans="1:17" ht="61.5" customHeight="1" x14ac:dyDescent="1.3">
      <c r="A13" s="92" t="s">
        <v>9</v>
      </c>
      <c r="B13" s="93"/>
      <c r="C13" s="94" t="str">
        <f>INFORME!C23</f>
        <v>AMPLIACION SISTEMA DE ALCANTARILLADO SANITARIO SECTOR I, ALDEA SAN LORENCITO, ZUNILITO, SUCHITEPEQUEZ</v>
      </c>
      <c r="D13" s="95"/>
      <c r="E13" s="95"/>
      <c r="F13" s="95"/>
      <c r="G13" s="95"/>
      <c r="H13" s="95"/>
      <c r="I13" s="95"/>
      <c r="J13" s="95"/>
      <c r="K13" s="96"/>
      <c r="N13" s="11"/>
      <c r="O13" s="12"/>
      <c r="P13" s="13"/>
      <c r="Q13" s="14"/>
    </row>
    <row r="14" spans="1:17" ht="35.1" customHeight="1" x14ac:dyDescent="0.2">
      <c r="A14" s="97" t="s">
        <v>10</v>
      </c>
      <c r="B14" s="98"/>
      <c r="C14" s="99" t="s">
        <v>63</v>
      </c>
      <c r="D14" s="100"/>
      <c r="E14" s="100"/>
      <c r="F14" s="100"/>
      <c r="G14" s="100"/>
      <c r="H14" s="100"/>
      <c r="I14" s="100"/>
      <c r="J14" s="100"/>
      <c r="K14" s="101"/>
    </row>
    <row r="15" spans="1:17" ht="35.1" customHeight="1" x14ac:dyDescent="0.2">
      <c r="A15" s="102" t="s">
        <v>36</v>
      </c>
      <c r="B15" s="102"/>
      <c r="C15" s="52" t="s">
        <v>53</v>
      </c>
      <c r="D15" s="49">
        <v>3000</v>
      </c>
      <c r="E15" s="50" t="s">
        <v>12</v>
      </c>
      <c r="F15" s="103" t="s">
        <v>48</v>
      </c>
      <c r="G15" s="104"/>
      <c r="H15" s="103" t="s">
        <v>58</v>
      </c>
      <c r="I15" s="105"/>
      <c r="J15" s="49">
        <v>4060</v>
      </c>
      <c r="K15" s="50" t="s">
        <v>12</v>
      </c>
    </row>
    <row r="16" spans="1:17" ht="35.1" customHeight="1" x14ac:dyDescent="0.2">
      <c r="A16" s="106" t="s">
        <v>28</v>
      </c>
      <c r="B16" s="106"/>
      <c r="C16" s="107">
        <v>45876</v>
      </c>
      <c r="D16" s="108"/>
      <c r="E16" s="109"/>
      <c r="F16" s="110" t="s">
        <v>15</v>
      </c>
      <c r="G16" s="111"/>
      <c r="H16" s="112">
        <f>+C23</f>
        <v>45904</v>
      </c>
      <c r="I16" s="112"/>
      <c r="J16" s="108"/>
      <c r="K16" s="109"/>
    </row>
    <row r="17" spans="1:22" ht="45" hidden="1" customHeight="1" x14ac:dyDescent="0.2">
      <c r="A17" s="113" t="s">
        <v>24</v>
      </c>
      <c r="B17" s="114"/>
      <c r="C17" s="16" t="s">
        <v>26</v>
      </c>
      <c r="D17" s="16" t="s">
        <v>27</v>
      </c>
      <c r="E17" s="115" t="s">
        <v>25</v>
      </c>
      <c r="F17" s="115"/>
      <c r="G17" s="115"/>
      <c r="H17" s="116"/>
      <c r="I17" s="116"/>
      <c r="J17" s="116"/>
      <c r="K17" s="117"/>
    </row>
    <row r="18" spans="1:22" ht="27.95" customHeight="1" x14ac:dyDescent="0.2">
      <c r="A18" s="119" t="s">
        <v>19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1"/>
    </row>
    <row r="19" spans="1:22" ht="52.5" customHeight="1" x14ac:dyDescent="0.2">
      <c r="A19" s="122" t="s">
        <v>1</v>
      </c>
      <c r="B19" s="123" t="s">
        <v>43</v>
      </c>
      <c r="C19" s="123" t="s">
        <v>44</v>
      </c>
      <c r="D19" s="31" t="s">
        <v>3</v>
      </c>
      <c r="E19" s="30" t="s">
        <v>45</v>
      </c>
      <c r="F19" s="30" t="s">
        <v>41</v>
      </c>
      <c r="G19" s="31" t="s">
        <v>4</v>
      </c>
      <c r="H19" s="122" t="s">
        <v>39</v>
      </c>
      <c r="I19" s="123" t="s">
        <v>37</v>
      </c>
      <c r="J19" s="32" t="s">
        <v>5</v>
      </c>
      <c r="K19" s="33" t="s">
        <v>42</v>
      </c>
    </row>
    <row r="20" spans="1:22" ht="39.950000000000003" customHeight="1" x14ac:dyDescent="0.35">
      <c r="A20" s="122"/>
      <c r="B20" s="124"/>
      <c r="C20" s="124"/>
      <c r="D20" s="31" t="s">
        <v>6</v>
      </c>
      <c r="E20" s="31" t="s">
        <v>40</v>
      </c>
      <c r="F20" s="31" t="s">
        <v>14</v>
      </c>
      <c r="G20" s="31" t="s">
        <v>7</v>
      </c>
      <c r="H20" s="122"/>
      <c r="I20" s="124"/>
      <c r="J20" s="31" t="s">
        <v>12</v>
      </c>
      <c r="K20" s="34" t="s">
        <v>13</v>
      </c>
    </row>
    <row r="21" spans="1:22" ht="39.950000000000003" customHeight="1" x14ac:dyDescent="0.4">
      <c r="A21" s="35">
        <v>1</v>
      </c>
      <c r="B21" s="36">
        <f>$C$16</f>
        <v>45876</v>
      </c>
      <c r="C21" s="37">
        <f t="shared" ref="C21:C22" si="0">B21+D21</f>
        <v>45883</v>
      </c>
      <c r="D21" s="38">
        <v>7</v>
      </c>
      <c r="E21" s="39">
        <v>29.37</v>
      </c>
      <c r="F21" s="39">
        <v>5.96</v>
      </c>
      <c r="G21" s="39">
        <v>27.9</v>
      </c>
      <c r="H21" s="35">
        <v>3</v>
      </c>
      <c r="I21" s="40">
        <v>63105</v>
      </c>
      <c r="J21" s="40">
        <f>I21/G21</f>
        <v>2261.8279569892475</v>
      </c>
      <c r="K21" s="53">
        <f>J21/D15</f>
        <v>0.75394265232974911</v>
      </c>
      <c r="M21" s="1" t="s">
        <v>21</v>
      </c>
      <c r="N21" s="1">
        <v>101900</v>
      </c>
      <c r="O21" s="1">
        <v>107350</v>
      </c>
    </row>
    <row r="22" spans="1:22" ht="39.950000000000003" customHeight="1" x14ac:dyDescent="0.4">
      <c r="A22" s="35">
        <v>2</v>
      </c>
      <c r="B22" s="43">
        <f t="shared" ref="B22:B23" si="1">$C$16</f>
        <v>45876</v>
      </c>
      <c r="C22" s="44">
        <f t="shared" si="0"/>
        <v>45890</v>
      </c>
      <c r="D22" s="45">
        <v>14</v>
      </c>
      <c r="E22" s="46">
        <v>28.94</v>
      </c>
      <c r="F22" s="46">
        <v>5.97</v>
      </c>
      <c r="G22" s="46">
        <v>27.99</v>
      </c>
      <c r="H22" s="47">
        <v>2</v>
      </c>
      <c r="I22" s="48">
        <v>76643</v>
      </c>
      <c r="J22" s="40">
        <f t="shared" ref="J22:J23" si="2">I22/G22</f>
        <v>2738.2279385494821</v>
      </c>
      <c r="K22" s="53">
        <f>J22/D15</f>
        <v>0.9127426461831607</v>
      </c>
      <c r="M22" s="1" t="s">
        <v>20</v>
      </c>
      <c r="N22" s="1">
        <v>79500</v>
      </c>
      <c r="O22" s="1">
        <v>84750</v>
      </c>
    </row>
    <row r="23" spans="1:22" ht="39.950000000000003" customHeight="1" x14ac:dyDescent="0.4">
      <c r="A23" s="35">
        <v>3</v>
      </c>
      <c r="B23" s="43">
        <f t="shared" si="1"/>
        <v>45876</v>
      </c>
      <c r="C23" s="44">
        <f>B23+D23</f>
        <v>45904</v>
      </c>
      <c r="D23" s="45">
        <v>28</v>
      </c>
      <c r="E23" s="46">
        <v>28.85</v>
      </c>
      <c r="F23" s="46">
        <v>5.91</v>
      </c>
      <c r="G23" s="46">
        <v>27.43</v>
      </c>
      <c r="H23" s="47">
        <v>4</v>
      </c>
      <c r="I23" s="48">
        <v>86125</v>
      </c>
      <c r="J23" s="40">
        <f t="shared" si="2"/>
        <v>3139.8104265402844</v>
      </c>
      <c r="K23" s="53">
        <f>J23/D15</f>
        <v>1.0466034755134281</v>
      </c>
      <c r="M23" s="1" t="s">
        <v>21</v>
      </c>
      <c r="N23" s="1">
        <v>101900</v>
      </c>
      <c r="O23" s="1">
        <v>107350</v>
      </c>
    </row>
    <row r="24" spans="1:22" ht="18" customHeight="1" x14ac:dyDescent="0.2">
      <c r="A24" s="8"/>
      <c r="B24" s="8"/>
      <c r="C24" s="8"/>
      <c r="D24" s="8"/>
      <c r="E24" s="8"/>
      <c r="F24" s="8"/>
      <c r="G24" s="8"/>
      <c r="H24" s="7"/>
      <c r="I24" s="7"/>
      <c r="J24" s="7"/>
      <c r="K24" s="2"/>
      <c r="N24" s="6"/>
      <c r="O24" s="6"/>
      <c r="P24" s="6"/>
      <c r="Q24" s="6"/>
      <c r="R24" s="6"/>
      <c r="S24" s="6"/>
      <c r="T24" s="6"/>
      <c r="U24" s="6"/>
      <c r="V24" s="6"/>
    </row>
    <row r="25" spans="1:22" ht="18" customHeight="1" x14ac:dyDescent="0.2">
      <c r="A25" s="125" t="s">
        <v>0</v>
      </c>
      <c r="B25" s="125"/>
      <c r="C25" s="126" t="s">
        <v>49</v>
      </c>
      <c r="D25" s="126"/>
      <c r="E25" s="126"/>
      <c r="F25" s="126"/>
      <c r="G25" s="126"/>
      <c r="H25" s="126"/>
      <c r="I25" s="126"/>
      <c r="J25" s="126"/>
      <c r="K25" s="126"/>
      <c r="N25" s="6"/>
      <c r="O25" s="6"/>
      <c r="P25" s="6"/>
      <c r="Q25" s="6"/>
      <c r="R25" s="6"/>
      <c r="S25" s="6"/>
      <c r="T25" s="6"/>
      <c r="U25" s="6"/>
      <c r="V25" s="6"/>
    </row>
    <row r="26" spans="1:22" ht="18" customHeight="1" x14ac:dyDescent="0.2">
      <c r="B26" s="6"/>
      <c r="C26" s="126"/>
      <c r="D26" s="126"/>
      <c r="E26" s="126"/>
      <c r="F26" s="126"/>
      <c r="G26" s="126"/>
      <c r="H26" s="126"/>
      <c r="I26" s="126"/>
      <c r="J26" s="126"/>
      <c r="K26" s="126"/>
    </row>
    <row r="27" spans="1:22" ht="18" customHeight="1" x14ac:dyDescent="0.2">
      <c r="A27" s="4"/>
      <c r="B27" s="6"/>
      <c r="C27" s="126"/>
      <c r="D27" s="126"/>
      <c r="E27" s="126"/>
      <c r="F27" s="126"/>
      <c r="G27" s="126"/>
      <c r="H27" s="126"/>
      <c r="I27" s="126"/>
      <c r="J27" s="126"/>
      <c r="K27" s="126"/>
    </row>
    <row r="28" spans="1:22" ht="18" customHeight="1" x14ac:dyDescent="0.2">
      <c r="A28" s="4"/>
      <c r="B28" s="6"/>
      <c r="C28" s="54"/>
      <c r="D28" s="54"/>
      <c r="E28" s="54"/>
      <c r="F28" s="54"/>
      <c r="G28" s="54"/>
      <c r="H28" s="54"/>
      <c r="I28" s="54"/>
      <c r="J28" s="54"/>
      <c r="K28" s="54"/>
    </row>
    <row r="29" spans="1:22" ht="18" customHeight="1" x14ac:dyDescent="0.2">
      <c r="A29" s="4"/>
      <c r="B29" s="6"/>
      <c r="C29" s="54"/>
      <c r="D29" s="54"/>
      <c r="E29" s="54"/>
      <c r="F29" s="54"/>
      <c r="G29" s="54"/>
      <c r="H29" s="54"/>
      <c r="I29" s="54"/>
      <c r="J29" s="54"/>
      <c r="K29" s="54"/>
    </row>
    <row r="30" spans="1:22" ht="18" customHeight="1" x14ac:dyDescent="0.2">
      <c r="A30" s="4"/>
      <c r="B30" s="6"/>
      <c r="C30" s="54"/>
      <c r="D30" s="54"/>
      <c r="E30" s="54"/>
      <c r="F30" s="54"/>
      <c r="G30" s="54"/>
      <c r="H30" s="54"/>
      <c r="I30" s="54"/>
      <c r="J30" s="54"/>
      <c r="K30" s="54"/>
    </row>
    <row r="31" spans="1:22" ht="18" customHeight="1" x14ac:dyDescent="0.2">
      <c r="A31" s="4"/>
      <c r="B31" s="6"/>
      <c r="C31" s="54"/>
      <c r="D31" s="54"/>
      <c r="E31" s="54"/>
      <c r="F31" s="54"/>
      <c r="G31" s="54"/>
      <c r="H31" s="54"/>
      <c r="I31" s="54"/>
      <c r="J31" s="54"/>
      <c r="K31" s="54"/>
    </row>
    <row r="32" spans="1:22" ht="18" customHeight="1" x14ac:dyDescent="0.2">
      <c r="A32" s="4"/>
      <c r="B32" s="6"/>
      <c r="C32" s="10"/>
      <c r="D32" s="10"/>
      <c r="E32" s="10"/>
      <c r="F32" s="10"/>
      <c r="G32" s="10"/>
      <c r="H32" s="10"/>
      <c r="I32" s="10"/>
      <c r="J32" s="10"/>
      <c r="K32" s="10"/>
    </row>
    <row r="33" spans="1:11" ht="15.95" customHeight="1" x14ac:dyDescent="0.2">
      <c r="A33" s="4"/>
      <c r="B33" s="4"/>
      <c r="C33" s="4"/>
      <c r="D33" s="4"/>
      <c r="E33" s="4"/>
      <c r="F33" s="4"/>
      <c r="G33" s="4"/>
      <c r="H33" s="3"/>
      <c r="I33" s="3"/>
      <c r="J33" s="3"/>
    </row>
    <row r="34" spans="1:11" ht="15.95" customHeight="1" x14ac:dyDescent="0.2">
      <c r="A34" s="4"/>
      <c r="B34" s="4"/>
      <c r="C34" s="4"/>
      <c r="D34" s="4"/>
      <c r="E34" s="4"/>
      <c r="F34" s="4"/>
      <c r="G34" s="4"/>
      <c r="H34" s="3"/>
      <c r="I34" s="3"/>
      <c r="J34" s="3"/>
    </row>
    <row r="35" spans="1:11" ht="15.95" customHeight="1" x14ac:dyDescent="0.2">
      <c r="A35" s="4"/>
      <c r="B35" s="4"/>
      <c r="C35" s="4"/>
      <c r="D35" s="4"/>
      <c r="E35" s="4"/>
      <c r="F35" s="4"/>
      <c r="G35" s="4"/>
      <c r="H35" s="3"/>
      <c r="I35" s="3"/>
      <c r="J35" s="3"/>
    </row>
    <row r="36" spans="1:11" ht="15.95" customHeight="1" x14ac:dyDescent="0.3">
      <c r="A36" s="127"/>
      <c r="B36" s="127"/>
      <c r="C36" s="5"/>
      <c r="D36" s="5"/>
      <c r="E36" s="5"/>
      <c r="F36" s="5"/>
      <c r="G36" s="5"/>
    </row>
    <row r="37" spans="1:11" ht="27.75" customHeight="1" x14ac:dyDescent="0.35">
      <c r="A37" s="128" t="s">
        <v>22</v>
      </c>
      <c r="B37" s="128"/>
      <c r="C37" s="128"/>
      <c r="D37" s="9"/>
      <c r="E37" s="9"/>
      <c r="F37" s="9"/>
      <c r="G37" s="15"/>
      <c r="J37" s="128" t="s">
        <v>18</v>
      </c>
      <c r="K37" s="128"/>
    </row>
    <row r="38" spans="1:11" ht="24" customHeight="1" x14ac:dyDescent="0.35">
      <c r="A38" s="118" t="s">
        <v>23</v>
      </c>
      <c r="B38" s="118"/>
      <c r="C38" s="118"/>
      <c r="D38" s="9"/>
      <c r="E38" s="9"/>
      <c r="F38" s="9"/>
      <c r="G38" s="9"/>
      <c r="H38" s="9"/>
      <c r="I38" s="9"/>
      <c r="J38" s="9"/>
      <c r="K38" s="9"/>
    </row>
    <row r="39" spans="1:11" ht="15" customHeight="1" x14ac:dyDescent="0.2"/>
  </sheetData>
  <mergeCells count="36">
    <mergeCell ref="A38:C38"/>
    <mergeCell ref="A18:K18"/>
    <mergeCell ref="A19:A20"/>
    <mergeCell ref="B19:B20"/>
    <mergeCell ref="C19:C20"/>
    <mergeCell ref="H19:H20"/>
    <mergeCell ref="I19:I20"/>
    <mergeCell ref="A25:B25"/>
    <mergeCell ref="C25:K27"/>
    <mergeCell ref="A36:B36"/>
    <mergeCell ref="A37:C37"/>
    <mergeCell ref="J37:K37"/>
    <mergeCell ref="A16:B16"/>
    <mergeCell ref="C16:E16"/>
    <mergeCell ref="F16:G16"/>
    <mergeCell ref="H16:K16"/>
    <mergeCell ref="A17:B17"/>
    <mergeCell ref="E17:G17"/>
    <mergeCell ref="H17:K17"/>
    <mergeCell ref="A13:B13"/>
    <mergeCell ref="C13:K13"/>
    <mergeCell ref="A14:B14"/>
    <mergeCell ref="C14:K14"/>
    <mergeCell ref="A15:B15"/>
    <mergeCell ref="F15:G15"/>
    <mergeCell ref="H15:I15"/>
    <mergeCell ref="A11:B11"/>
    <mergeCell ref="C11:K11"/>
    <mergeCell ref="A12:B12"/>
    <mergeCell ref="C12:K12"/>
    <mergeCell ref="A9:J9"/>
    <mergeCell ref="A1:J2"/>
    <mergeCell ref="A4:J4"/>
    <mergeCell ref="A6:J6"/>
    <mergeCell ref="A7:J7"/>
    <mergeCell ref="A8:J8"/>
  </mergeCells>
  <printOptions horizontalCentered="1" verticalCentered="1"/>
  <pageMargins left="0.39370078740157483" right="0.39370078740157483" top="0.59055118110236227" bottom="0.39370078740157483" header="0.31496062992125984" footer="0.31496062992125984"/>
  <pageSetup scale="55" orientation="landscape" horizontalDpi="360" verticalDpi="360" r:id="rId1"/>
  <headerFooter scaleWithDoc="0">
    <oddFooter>&amp;C_________________________________________________________________________________________________
1a. Avenida 8-34 Residenciales Joya de Palencia, Palencia, Guatemala. Tels.: 5473-3871/4020-2271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Button 1">
              <controlPr defaultSize="0" print="0" autoFill="0" autoPict="0" macro="[14]!Cilindros">
                <anchor moveWithCells="1">
                  <from>
                    <xdr:col>12</xdr:col>
                    <xdr:colOff>219075</xdr:colOff>
                    <xdr:row>10</xdr:row>
                    <xdr:rowOff>180975</xdr:rowOff>
                  </from>
                  <to>
                    <xdr:col>14</xdr:col>
                    <xdr:colOff>95250</xdr:colOff>
                    <xdr:row>11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4E461-6203-4358-8FC2-6C960F4F952D}">
  <sheetPr codeName="Hoja4">
    <tabColor rgb="FFC00000"/>
  </sheetPr>
  <dimension ref="A1:V39"/>
  <sheetViews>
    <sheetView topLeftCell="E13" zoomScaleNormal="100" zoomScaleSheetLayoutView="55" zoomScalePageLayoutView="25" workbookViewId="0">
      <selection activeCell="R21" sqref="R21"/>
    </sheetView>
  </sheetViews>
  <sheetFormatPr baseColWidth="10" defaultColWidth="11.42578125" defaultRowHeight="14.25" x14ac:dyDescent="0.2"/>
  <cols>
    <col min="1" max="1" width="15.28515625" style="1" customWidth="1"/>
    <col min="2" max="2" width="24" style="1" bestFit="1" customWidth="1"/>
    <col min="3" max="3" width="31.5703125" style="1" customWidth="1"/>
    <col min="4" max="4" width="20.85546875" style="1" customWidth="1"/>
    <col min="5" max="5" width="22.140625" style="1" customWidth="1"/>
    <col min="6" max="6" width="19.42578125" style="1" customWidth="1"/>
    <col min="7" max="7" width="21" style="1" bestFit="1" customWidth="1"/>
    <col min="8" max="8" width="16.85546875" style="1" customWidth="1"/>
    <col min="9" max="9" width="18.7109375" style="1" customWidth="1"/>
    <col min="10" max="10" width="21.5703125" style="1" customWidth="1"/>
    <col min="11" max="11" width="21.28515625" style="1" customWidth="1"/>
    <col min="12" max="12" width="11.42578125" style="1"/>
    <col min="13" max="13" width="13.42578125" style="1" customWidth="1"/>
    <col min="14" max="16384" width="11.42578125" style="1"/>
  </cols>
  <sheetData>
    <row r="1" spans="1:17" ht="14.25" customHeight="1" x14ac:dyDescent="0.2">
      <c r="A1" s="85" t="str">
        <f>INFORME!B1</f>
        <v>MULTISERVICIOS VIVEL</v>
      </c>
      <c r="B1" s="85"/>
      <c r="C1" s="85"/>
      <c r="D1" s="85"/>
      <c r="E1" s="85"/>
      <c r="F1" s="85"/>
      <c r="G1" s="85"/>
      <c r="H1" s="85"/>
      <c r="I1" s="85"/>
      <c r="J1" s="85"/>
    </row>
    <row r="2" spans="1:17" ht="22.5" customHeight="1" x14ac:dyDescent="0.2">
      <c r="A2" s="85"/>
      <c r="B2" s="85"/>
      <c r="C2" s="85"/>
      <c r="D2" s="85"/>
      <c r="E2" s="85"/>
      <c r="F2" s="85"/>
      <c r="G2" s="85"/>
      <c r="H2" s="85"/>
      <c r="I2" s="85"/>
      <c r="J2" s="85"/>
    </row>
    <row r="3" spans="1:17" ht="20.25" customHeight="1" x14ac:dyDescent="0.2"/>
    <row r="4" spans="1:17" ht="21.95" customHeight="1" x14ac:dyDescent="0.35">
      <c r="A4" s="61" t="s">
        <v>2</v>
      </c>
      <c r="B4" s="61"/>
      <c r="C4" s="61"/>
      <c r="D4" s="61"/>
      <c r="E4" s="61"/>
      <c r="F4" s="61"/>
      <c r="G4" s="61"/>
      <c r="H4" s="61"/>
      <c r="I4" s="61"/>
      <c r="J4" s="61"/>
    </row>
    <row r="5" spans="1:17" ht="21.95" customHeight="1" x14ac:dyDescent="0.35">
      <c r="A5" s="9"/>
      <c r="B5" s="9"/>
      <c r="C5" s="9"/>
      <c r="D5" s="9"/>
      <c r="E5" s="9"/>
      <c r="F5" s="9"/>
      <c r="G5" s="9"/>
      <c r="H5" s="9"/>
      <c r="I5" s="9"/>
      <c r="J5" s="9"/>
    </row>
    <row r="6" spans="1:17" ht="27.95" customHeight="1" x14ac:dyDescent="0.2">
      <c r="A6" s="84"/>
      <c r="B6" s="84"/>
      <c r="C6" s="84"/>
      <c r="D6" s="84"/>
      <c r="E6" s="84"/>
      <c r="F6" s="84"/>
      <c r="G6" s="84"/>
      <c r="H6" s="84"/>
      <c r="I6" s="84"/>
      <c r="J6" s="84"/>
    </row>
    <row r="7" spans="1:17" ht="27.95" customHeight="1" x14ac:dyDescent="0.2">
      <c r="A7" s="86" t="s">
        <v>16</v>
      </c>
      <c r="B7" s="86"/>
      <c r="C7" s="86"/>
      <c r="D7" s="86"/>
      <c r="E7" s="86"/>
      <c r="F7" s="86"/>
      <c r="G7" s="86"/>
      <c r="H7" s="86"/>
      <c r="I7" s="86"/>
      <c r="J7" s="86"/>
    </row>
    <row r="8" spans="1:17" ht="27.95" customHeight="1" x14ac:dyDescent="0.2">
      <c r="A8" s="84" t="s">
        <v>8</v>
      </c>
      <c r="B8" s="84"/>
      <c r="C8" s="84"/>
      <c r="D8" s="84"/>
      <c r="E8" s="84"/>
      <c r="F8" s="84"/>
      <c r="G8" s="84"/>
      <c r="H8" s="84"/>
      <c r="I8" s="84"/>
      <c r="J8" s="84"/>
    </row>
    <row r="9" spans="1:17" ht="27.95" customHeight="1" x14ac:dyDescent="0.2">
      <c r="A9" s="84" t="s">
        <v>17</v>
      </c>
      <c r="B9" s="84"/>
      <c r="C9" s="84"/>
      <c r="D9" s="84"/>
      <c r="E9" s="84"/>
      <c r="F9" s="84"/>
      <c r="G9" s="84"/>
      <c r="H9" s="84"/>
      <c r="I9" s="84"/>
      <c r="J9" s="84"/>
    </row>
    <row r="10" spans="1:17" ht="8.25" customHeight="1" x14ac:dyDescent="0.2"/>
    <row r="11" spans="1:17" ht="35.1" customHeight="1" x14ac:dyDescent="0.2">
      <c r="A11" s="87" t="s">
        <v>11</v>
      </c>
      <c r="B11" s="88"/>
      <c r="C11" s="89" t="str">
        <f>INFORME!C12</f>
        <v>MUNICIPALIDAD DE ZUNILITO, SUCHITEPEQUEZ</v>
      </c>
      <c r="D11" s="90"/>
      <c r="E11" s="90"/>
      <c r="F11" s="90"/>
      <c r="G11" s="90"/>
      <c r="H11" s="90"/>
      <c r="I11" s="90"/>
      <c r="J11" s="90"/>
      <c r="K11" s="91"/>
    </row>
    <row r="12" spans="1:17" ht="35.1" customHeight="1" x14ac:dyDescent="0.2">
      <c r="A12" s="87" t="s">
        <v>52</v>
      </c>
      <c r="B12" s="88"/>
      <c r="C12" s="89" t="str">
        <f>INFORME!C14</f>
        <v>MVC MAURICIO VALDEZ CONSTRUCCIONES</v>
      </c>
      <c r="D12" s="90"/>
      <c r="E12" s="90"/>
      <c r="F12" s="90"/>
      <c r="G12" s="90"/>
      <c r="H12" s="90"/>
      <c r="I12" s="90"/>
      <c r="J12" s="90"/>
      <c r="K12" s="91"/>
    </row>
    <row r="13" spans="1:17" ht="61.5" customHeight="1" x14ac:dyDescent="1.3">
      <c r="A13" s="92" t="s">
        <v>9</v>
      </c>
      <c r="B13" s="93"/>
      <c r="C13" s="94" t="str">
        <f>INFORME!C23</f>
        <v>AMPLIACION SISTEMA DE ALCANTARILLADO SANITARIO SECTOR I, ALDEA SAN LORENCITO, ZUNILITO, SUCHITEPEQUEZ</v>
      </c>
      <c r="D13" s="95"/>
      <c r="E13" s="95"/>
      <c r="F13" s="95"/>
      <c r="G13" s="95"/>
      <c r="H13" s="95"/>
      <c r="I13" s="95"/>
      <c r="J13" s="95"/>
      <c r="K13" s="96"/>
      <c r="N13" s="11"/>
      <c r="O13" s="12"/>
      <c r="P13" s="13"/>
      <c r="Q13" s="14"/>
    </row>
    <row r="14" spans="1:17" ht="35.1" customHeight="1" x14ac:dyDescent="0.2">
      <c r="A14" s="97" t="s">
        <v>10</v>
      </c>
      <c r="B14" s="98"/>
      <c r="C14" s="99" t="s">
        <v>64</v>
      </c>
      <c r="D14" s="100"/>
      <c r="E14" s="100"/>
      <c r="F14" s="100"/>
      <c r="G14" s="100"/>
      <c r="H14" s="100"/>
      <c r="I14" s="100"/>
      <c r="J14" s="100"/>
      <c r="K14" s="101"/>
    </row>
    <row r="15" spans="1:17" ht="35.1" customHeight="1" x14ac:dyDescent="0.2">
      <c r="A15" s="102" t="s">
        <v>36</v>
      </c>
      <c r="B15" s="102"/>
      <c r="C15" s="52" t="s">
        <v>53</v>
      </c>
      <c r="D15" s="49">
        <v>3000</v>
      </c>
      <c r="E15" s="50" t="s">
        <v>12</v>
      </c>
      <c r="F15" s="103" t="s">
        <v>48</v>
      </c>
      <c r="G15" s="104"/>
      <c r="H15" s="103" t="s">
        <v>58</v>
      </c>
      <c r="I15" s="105"/>
      <c r="J15" s="49">
        <v>4060</v>
      </c>
      <c r="K15" s="50" t="s">
        <v>12</v>
      </c>
    </row>
    <row r="16" spans="1:17" ht="35.1" customHeight="1" x14ac:dyDescent="0.2">
      <c r="A16" s="106" t="s">
        <v>28</v>
      </c>
      <c r="B16" s="106"/>
      <c r="C16" s="107">
        <v>45876</v>
      </c>
      <c r="D16" s="108"/>
      <c r="E16" s="109"/>
      <c r="F16" s="110" t="s">
        <v>15</v>
      </c>
      <c r="G16" s="111"/>
      <c r="H16" s="112">
        <f>+C23</f>
        <v>45904</v>
      </c>
      <c r="I16" s="112"/>
      <c r="J16" s="108"/>
      <c r="K16" s="109"/>
    </row>
    <row r="17" spans="1:22" ht="45" hidden="1" customHeight="1" x14ac:dyDescent="0.2">
      <c r="A17" s="113" t="s">
        <v>24</v>
      </c>
      <c r="B17" s="114"/>
      <c r="C17" s="16" t="s">
        <v>26</v>
      </c>
      <c r="D17" s="16" t="s">
        <v>27</v>
      </c>
      <c r="E17" s="115" t="s">
        <v>25</v>
      </c>
      <c r="F17" s="115"/>
      <c r="G17" s="115"/>
      <c r="H17" s="116"/>
      <c r="I17" s="116"/>
      <c r="J17" s="116"/>
      <c r="K17" s="117"/>
    </row>
    <row r="18" spans="1:22" ht="27.95" customHeight="1" x14ac:dyDescent="0.2">
      <c r="A18" s="119" t="s">
        <v>19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1"/>
    </row>
    <row r="19" spans="1:22" ht="52.5" customHeight="1" x14ac:dyDescent="0.2">
      <c r="A19" s="122" t="s">
        <v>1</v>
      </c>
      <c r="B19" s="123" t="s">
        <v>43</v>
      </c>
      <c r="C19" s="123" t="s">
        <v>44</v>
      </c>
      <c r="D19" s="31" t="s">
        <v>3</v>
      </c>
      <c r="E19" s="30" t="s">
        <v>45</v>
      </c>
      <c r="F19" s="30" t="s">
        <v>41</v>
      </c>
      <c r="G19" s="31" t="s">
        <v>4</v>
      </c>
      <c r="H19" s="122" t="s">
        <v>39</v>
      </c>
      <c r="I19" s="123" t="s">
        <v>37</v>
      </c>
      <c r="J19" s="32" t="s">
        <v>5</v>
      </c>
      <c r="K19" s="33" t="s">
        <v>42</v>
      </c>
    </row>
    <row r="20" spans="1:22" ht="39.950000000000003" customHeight="1" x14ac:dyDescent="0.35">
      <c r="A20" s="122"/>
      <c r="B20" s="124"/>
      <c r="C20" s="124"/>
      <c r="D20" s="31" t="s">
        <v>6</v>
      </c>
      <c r="E20" s="31" t="s">
        <v>40</v>
      </c>
      <c r="F20" s="31" t="s">
        <v>14</v>
      </c>
      <c r="G20" s="31" t="s">
        <v>7</v>
      </c>
      <c r="H20" s="122"/>
      <c r="I20" s="124"/>
      <c r="J20" s="31" t="s">
        <v>12</v>
      </c>
      <c r="K20" s="34" t="s">
        <v>13</v>
      </c>
    </row>
    <row r="21" spans="1:22" ht="39.950000000000003" customHeight="1" x14ac:dyDescent="0.4">
      <c r="A21" s="35">
        <v>1</v>
      </c>
      <c r="B21" s="36">
        <f>$C$16</f>
        <v>45876</v>
      </c>
      <c r="C21" s="37">
        <f t="shared" ref="C21:C22" si="0">B21+D21</f>
        <v>45883</v>
      </c>
      <c r="D21" s="38">
        <v>7</v>
      </c>
      <c r="E21" s="39">
        <v>28.3</v>
      </c>
      <c r="F21" s="39">
        <v>5.97</v>
      </c>
      <c r="G21" s="39">
        <v>27.99</v>
      </c>
      <c r="H21" s="35">
        <v>2</v>
      </c>
      <c r="I21" s="40">
        <v>62816</v>
      </c>
      <c r="J21" s="40">
        <v>2244</v>
      </c>
      <c r="K21" s="53">
        <f>J21/D15</f>
        <v>0.748</v>
      </c>
      <c r="M21" s="1" t="s">
        <v>21</v>
      </c>
      <c r="N21" s="1">
        <v>101900</v>
      </c>
      <c r="O21" s="1">
        <v>107350</v>
      </c>
    </row>
    <row r="22" spans="1:22" ht="39.950000000000003" customHeight="1" x14ac:dyDescent="0.4">
      <c r="A22" s="35">
        <v>2</v>
      </c>
      <c r="B22" s="43">
        <f t="shared" ref="B22:B23" si="1">$C$16</f>
        <v>45876</v>
      </c>
      <c r="C22" s="44">
        <f t="shared" si="0"/>
        <v>45890</v>
      </c>
      <c r="D22" s="45">
        <v>14</v>
      </c>
      <c r="E22" s="46">
        <v>28.27</v>
      </c>
      <c r="F22" s="46">
        <v>5.94</v>
      </c>
      <c r="G22" s="46">
        <v>27.71</v>
      </c>
      <c r="H22" s="47">
        <v>2</v>
      </c>
      <c r="I22" s="48">
        <v>79644</v>
      </c>
      <c r="J22" s="48">
        <v>2874</v>
      </c>
      <c r="K22" s="53">
        <f>J22/D15</f>
        <v>0.95799999999999996</v>
      </c>
      <c r="M22" s="1" t="s">
        <v>20</v>
      </c>
      <c r="N22" s="1">
        <v>79500</v>
      </c>
      <c r="O22" s="1">
        <v>84750</v>
      </c>
    </row>
    <row r="23" spans="1:22" ht="39.950000000000003" customHeight="1" x14ac:dyDescent="0.4">
      <c r="A23" s="35">
        <v>3</v>
      </c>
      <c r="B23" s="43">
        <f t="shared" si="1"/>
        <v>45876</v>
      </c>
      <c r="C23" s="44">
        <f>B23+D23</f>
        <v>45904</v>
      </c>
      <c r="D23" s="45">
        <v>28</v>
      </c>
      <c r="E23" s="46">
        <v>29.13</v>
      </c>
      <c r="F23" s="46">
        <v>5.96</v>
      </c>
      <c r="G23" s="46">
        <v>27.9</v>
      </c>
      <c r="H23" s="47">
        <v>5</v>
      </c>
      <c r="I23" s="48">
        <v>91590</v>
      </c>
      <c r="J23" s="48">
        <v>3283</v>
      </c>
      <c r="K23" s="53">
        <f>J23/D15</f>
        <v>1.0943333333333334</v>
      </c>
      <c r="M23" s="1" t="s">
        <v>67</v>
      </c>
      <c r="N23" s="1">
        <v>101900</v>
      </c>
      <c r="O23" s="1">
        <v>107350</v>
      </c>
    </row>
    <row r="24" spans="1:22" ht="18" customHeight="1" x14ac:dyDescent="0.2">
      <c r="A24" s="8"/>
      <c r="B24" s="8"/>
      <c r="C24" s="8"/>
      <c r="D24" s="8"/>
      <c r="E24" s="8"/>
      <c r="F24" s="8"/>
      <c r="G24" s="8"/>
      <c r="H24" s="7"/>
      <c r="I24" s="7"/>
      <c r="J24" s="7"/>
      <c r="K24" s="2"/>
      <c r="N24" s="6"/>
      <c r="O24" s="6"/>
      <c r="P24" s="6"/>
      <c r="Q24" s="6"/>
      <c r="R24" s="6"/>
      <c r="S24" s="6"/>
      <c r="T24" s="6"/>
      <c r="U24" s="6"/>
      <c r="V24" s="6"/>
    </row>
    <row r="25" spans="1:22" ht="18" customHeight="1" x14ac:dyDescent="0.2">
      <c r="A25" s="125" t="s">
        <v>0</v>
      </c>
      <c r="B25" s="125"/>
      <c r="C25" s="126" t="s">
        <v>49</v>
      </c>
      <c r="D25" s="126"/>
      <c r="E25" s="126"/>
      <c r="F25" s="126"/>
      <c r="G25" s="126"/>
      <c r="H25" s="126"/>
      <c r="I25" s="126"/>
      <c r="J25" s="126"/>
      <c r="K25" s="126"/>
      <c r="N25" s="6"/>
      <c r="O25" s="6"/>
      <c r="P25" s="6"/>
      <c r="Q25" s="6"/>
      <c r="R25" s="6"/>
      <c r="S25" s="6"/>
      <c r="T25" s="6"/>
      <c r="U25" s="6"/>
      <c r="V25" s="6"/>
    </row>
    <row r="26" spans="1:22" ht="18" customHeight="1" x14ac:dyDescent="0.2">
      <c r="B26" s="6"/>
      <c r="C26" s="126"/>
      <c r="D26" s="126"/>
      <c r="E26" s="126"/>
      <c r="F26" s="126"/>
      <c r="G26" s="126"/>
      <c r="H26" s="126"/>
      <c r="I26" s="126"/>
      <c r="J26" s="126"/>
      <c r="K26" s="126"/>
    </row>
    <row r="27" spans="1:22" ht="18" customHeight="1" x14ac:dyDescent="0.2">
      <c r="A27" s="4"/>
      <c r="B27" s="6"/>
      <c r="C27" s="126"/>
      <c r="D27" s="126"/>
      <c r="E27" s="126"/>
      <c r="F27" s="126"/>
      <c r="G27" s="126"/>
      <c r="H27" s="126"/>
      <c r="I27" s="126"/>
      <c r="J27" s="126"/>
      <c r="K27" s="126"/>
    </row>
    <row r="28" spans="1:22" ht="18" customHeight="1" x14ac:dyDescent="0.2">
      <c r="A28" s="4"/>
      <c r="B28" s="6"/>
      <c r="C28" s="54"/>
      <c r="D28" s="54"/>
      <c r="E28" s="54"/>
      <c r="F28" s="54"/>
      <c r="G28" s="54"/>
      <c r="H28" s="54"/>
      <c r="I28" s="54"/>
      <c r="J28" s="54"/>
      <c r="K28" s="54"/>
    </row>
    <row r="29" spans="1:22" ht="18" customHeight="1" x14ac:dyDescent="0.2">
      <c r="A29" s="4"/>
      <c r="B29" s="6"/>
      <c r="C29" s="54"/>
      <c r="D29" s="54"/>
      <c r="E29" s="54"/>
      <c r="F29" s="54"/>
      <c r="G29" s="54"/>
      <c r="H29" s="54"/>
      <c r="I29" s="54"/>
      <c r="J29" s="54"/>
      <c r="K29" s="54"/>
    </row>
    <row r="30" spans="1:22" ht="18" customHeight="1" x14ac:dyDescent="0.2">
      <c r="A30" s="4"/>
      <c r="B30" s="6"/>
      <c r="C30" s="54"/>
      <c r="D30" s="54"/>
      <c r="E30" s="54"/>
      <c r="F30" s="54"/>
      <c r="G30" s="54"/>
      <c r="H30" s="54"/>
      <c r="I30" s="54"/>
      <c r="J30" s="54"/>
      <c r="K30" s="54"/>
    </row>
    <row r="31" spans="1:22" ht="18" customHeight="1" x14ac:dyDescent="0.2">
      <c r="A31" s="4"/>
      <c r="B31" s="6"/>
      <c r="C31" s="54"/>
      <c r="D31" s="54"/>
      <c r="E31" s="54"/>
      <c r="F31" s="54"/>
      <c r="G31" s="54"/>
      <c r="H31" s="54"/>
      <c r="I31" s="54"/>
      <c r="J31" s="54"/>
      <c r="K31" s="54"/>
    </row>
    <row r="32" spans="1:22" ht="18" customHeight="1" x14ac:dyDescent="0.2">
      <c r="A32" s="4"/>
      <c r="B32" s="6"/>
      <c r="C32" s="10"/>
      <c r="D32" s="10"/>
      <c r="E32" s="10"/>
      <c r="F32" s="10"/>
      <c r="G32" s="10"/>
      <c r="H32" s="10"/>
      <c r="I32" s="10"/>
      <c r="J32" s="10"/>
      <c r="K32" s="10"/>
    </row>
    <row r="33" spans="1:11" ht="15.95" customHeight="1" x14ac:dyDescent="0.2">
      <c r="A33" s="4"/>
      <c r="B33" s="4"/>
      <c r="C33" s="4"/>
      <c r="D33" s="4"/>
      <c r="E33" s="4"/>
      <c r="F33" s="4"/>
      <c r="G33" s="4"/>
      <c r="H33" s="3"/>
      <c r="I33" s="3"/>
      <c r="J33" s="3"/>
    </row>
    <row r="34" spans="1:11" ht="15.95" customHeight="1" x14ac:dyDescent="0.2">
      <c r="A34" s="4"/>
      <c r="B34" s="4"/>
      <c r="C34" s="4"/>
      <c r="D34" s="4"/>
      <c r="E34" s="4"/>
      <c r="F34" s="4"/>
      <c r="G34" s="4"/>
      <c r="H34" s="3"/>
      <c r="I34" s="3"/>
      <c r="J34" s="3"/>
    </row>
    <row r="35" spans="1:11" ht="15.95" customHeight="1" x14ac:dyDescent="0.2">
      <c r="A35" s="4"/>
      <c r="B35" s="4"/>
      <c r="C35" s="4"/>
      <c r="D35" s="4"/>
      <c r="E35" s="4"/>
      <c r="F35" s="4"/>
      <c r="G35" s="4"/>
      <c r="H35" s="3"/>
      <c r="I35" s="3"/>
      <c r="J35" s="3"/>
    </row>
    <row r="36" spans="1:11" ht="15.95" customHeight="1" x14ac:dyDescent="0.3">
      <c r="A36" s="127"/>
      <c r="B36" s="127"/>
      <c r="C36" s="5"/>
      <c r="D36" s="5"/>
      <c r="E36" s="5"/>
      <c r="F36" s="5"/>
      <c r="G36" s="5"/>
    </row>
    <row r="37" spans="1:11" ht="27.75" customHeight="1" x14ac:dyDescent="0.35">
      <c r="A37" s="128" t="s">
        <v>22</v>
      </c>
      <c r="B37" s="128"/>
      <c r="C37" s="128"/>
      <c r="D37" s="9"/>
      <c r="E37" s="9"/>
      <c r="F37" s="9"/>
      <c r="G37" s="15"/>
      <c r="J37" s="128" t="s">
        <v>18</v>
      </c>
      <c r="K37" s="128"/>
    </row>
    <row r="38" spans="1:11" ht="24" customHeight="1" x14ac:dyDescent="0.35">
      <c r="A38" s="118" t="s">
        <v>23</v>
      </c>
      <c r="B38" s="118"/>
      <c r="C38" s="118"/>
      <c r="D38" s="9"/>
      <c r="E38" s="9"/>
      <c r="F38" s="9"/>
      <c r="G38" s="9"/>
      <c r="H38" s="9"/>
      <c r="I38" s="9"/>
      <c r="J38" s="9"/>
      <c r="K38" s="9"/>
    </row>
    <row r="39" spans="1:11" ht="15" customHeight="1" x14ac:dyDescent="0.2"/>
  </sheetData>
  <mergeCells count="36">
    <mergeCell ref="A38:C38"/>
    <mergeCell ref="A18:K18"/>
    <mergeCell ref="A19:A20"/>
    <mergeCell ref="B19:B20"/>
    <mergeCell ref="C19:C20"/>
    <mergeCell ref="H19:H20"/>
    <mergeCell ref="I19:I20"/>
    <mergeCell ref="A25:B25"/>
    <mergeCell ref="C25:K27"/>
    <mergeCell ref="A36:B36"/>
    <mergeCell ref="A37:C37"/>
    <mergeCell ref="J37:K37"/>
    <mergeCell ref="A16:B16"/>
    <mergeCell ref="C16:E16"/>
    <mergeCell ref="F16:G16"/>
    <mergeCell ref="H16:K16"/>
    <mergeCell ref="A17:B17"/>
    <mergeCell ref="E17:G17"/>
    <mergeCell ref="H17:K17"/>
    <mergeCell ref="A13:B13"/>
    <mergeCell ref="C13:K13"/>
    <mergeCell ref="A14:B14"/>
    <mergeCell ref="C14:K14"/>
    <mergeCell ref="A15:B15"/>
    <mergeCell ref="F15:G15"/>
    <mergeCell ref="H15:I15"/>
    <mergeCell ref="A11:B11"/>
    <mergeCell ref="C11:K11"/>
    <mergeCell ref="A12:B12"/>
    <mergeCell ref="C12:K12"/>
    <mergeCell ref="A9:J9"/>
    <mergeCell ref="A1:J2"/>
    <mergeCell ref="A4:J4"/>
    <mergeCell ref="A6:J6"/>
    <mergeCell ref="A7:J7"/>
    <mergeCell ref="A8:J8"/>
  </mergeCells>
  <printOptions horizontalCentered="1" verticalCentered="1"/>
  <pageMargins left="0.39370078740157483" right="0.39370078740157483" top="0.59055118110236227" bottom="0.39370078740157483" header="0.31496062992125984" footer="0.31496062992125984"/>
  <pageSetup scale="55" orientation="landscape" horizontalDpi="360" verticalDpi="360" r:id="rId1"/>
  <headerFooter scaleWithDoc="0">
    <oddFooter>&amp;C_________________________________________________________________________________________________
1a. Avenida 8-34 Residenciales Joya de Palencia, Palencia, Guatemala. Tels.: 5473-3871/4020-2271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Button 1">
              <controlPr defaultSize="0" print="0" autoFill="0" autoPict="0" macro="[14]!Cilindros">
                <anchor moveWithCells="1">
                  <from>
                    <xdr:col>12</xdr:col>
                    <xdr:colOff>219075</xdr:colOff>
                    <xdr:row>10</xdr:row>
                    <xdr:rowOff>180975</xdr:rowOff>
                  </from>
                  <to>
                    <xdr:col>14</xdr:col>
                    <xdr:colOff>95250</xdr:colOff>
                    <xdr:row>11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9E8B3-0437-463D-999F-DBA6499D6509}">
  <sheetPr codeName="Hoja5">
    <tabColor rgb="FFC00000"/>
  </sheetPr>
  <dimension ref="A1:V39"/>
  <sheetViews>
    <sheetView tabSelected="1" topLeftCell="A13" zoomScaleNormal="100" zoomScaleSheetLayoutView="55" zoomScalePageLayoutView="25" workbookViewId="0">
      <selection activeCell="R21" sqref="R21"/>
    </sheetView>
  </sheetViews>
  <sheetFormatPr baseColWidth="10" defaultColWidth="11.42578125" defaultRowHeight="14.25" x14ac:dyDescent="0.2"/>
  <cols>
    <col min="1" max="1" width="15.28515625" style="1" customWidth="1"/>
    <col min="2" max="2" width="24" style="1" bestFit="1" customWidth="1"/>
    <col min="3" max="3" width="31.5703125" style="1" customWidth="1"/>
    <col min="4" max="4" width="20.85546875" style="1" customWidth="1"/>
    <col min="5" max="5" width="22.140625" style="1" customWidth="1"/>
    <col min="6" max="6" width="19.42578125" style="1" customWidth="1"/>
    <col min="7" max="7" width="21" style="1" bestFit="1" customWidth="1"/>
    <col min="8" max="8" width="16.85546875" style="1" customWidth="1"/>
    <col min="9" max="9" width="18.7109375" style="1" customWidth="1"/>
    <col min="10" max="10" width="21.5703125" style="1" customWidth="1"/>
    <col min="11" max="11" width="21.28515625" style="1" customWidth="1"/>
    <col min="12" max="12" width="11.42578125" style="1"/>
    <col min="13" max="13" width="13.42578125" style="1" customWidth="1"/>
    <col min="14" max="16384" width="11.42578125" style="1"/>
  </cols>
  <sheetData>
    <row r="1" spans="1:17" ht="14.25" customHeight="1" x14ac:dyDescent="0.2">
      <c r="A1" s="85" t="str">
        <f>INFORME!B1</f>
        <v>MULTISERVICIOS VIVEL</v>
      </c>
      <c r="B1" s="85"/>
      <c r="C1" s="85"/>
      <c r="D1" s="85"/>
      <c r="E1" s="85"/>
      <c r="F1" s="85"/>
      <c r="G1" s="85"/>
      <c r="H1" s="85"/>
      <c r="I1" s="85"/>
      <c r="J1" s="85"/>
    </row>
    <row r="2" spans="1:17" ht="22.5" customHeight="1" x14ac:dyDescent="0.2">
      <c r="A2" s="85"/>
      <c r="B2" s="85"/>
      <c r="C2" s="85"/>
      <c r="D2" s="85"/>
      <c r="E2" s="85"/>
      <c r="F2" s="85"/>
      <c r="G2" s="85"/>
      <c r="H2" s="85"/>
      <c r="I2" s="85"/>
      <c r="J2" s="85"/>
    </row>
    <row r="3" spans="1:17" ht="20.25" customHeight="1" x14ac:dyDescent="0.2"/>
    <row r="4" spans="1:17" ht="21.95" customHeight="1" x14ac:dyDescent="0.35">
      <c r="A4" s="61" t="s">
        <v>2</v>
      </c>
      <c r="B4" s="61"/>
      <c r="C4" s="61"/>
      <c r="D4" s="61"/>
      <c r="E4" s="61"/>
      <c r="F4" s="61"/>
      <c r="G4" s="61"/>
      <c r="H4" s="61"/>
      <c r="I4" s="61"/>
      <c r="J4" s="61"/>
    </row>
    <row r="5" spans="1:17" ht="21.95" customHeight="1" x14ac:dyDescent="0.35">
      <c r="A5" s="9"/>
      <c r="B5" s="9"/>
      <c r="C5" s="9"/>
      <c r="D5" s="9"/>
      <c r="E5" s="9"/>
      <c r="F5" s="9"/>
      <c r="G5" s="9"/>
      <c r="H5" s="9"/>
      <c r="I5" s="9"/>
      <c r="J5" s="9"/>
    </row>
    <row r="6" spans="1:17" ht="27.95" customHeight="1" x14ac:dyDescent="0.2">
      <c r="A6" s="84"/>
      <c r="B6" s="84"/>
      <c r="C6" s="84"/>
      <c r="D6" s="84"/>
      <c r="E6" s="84"/>
      <c r="F6" s="84"/>
      <c r="G6" s="84"/>
      <c r="H6" s="84"/>
      <c r="I6" s="84"/>
      <c r="J6" s="84"/>
    </row>
    <row r="7" spans="1:17" ht="27.95" customHeight="1" x14ac:dyDescent="0.2">
      <c r="A7" s="86" t="s">
        <v>16</v>
      </c>
      <c r="B7" s="86"/>
      <c r="C7" s="86"/>
      <c r="D7" s="86"/>
      <c r="E7" s="86"/>
      <c r="F7" s="86"/>
      <c r="G7" s="86"/>
      <c r="H7" s="86"/>
      <c r="I7" s="86"/>
      <c r="J7" s="86"/>
    </row>
    <row r="8" spans="1:17" ht="27.95" customHeight="1" x14ac:dyDescent="0.2">
      <c r="A8" s="84" t="s">
        <v>8</v>
      </c>
      <c r="B8" s="84"/>
      <c r="C8" s="84"/>
      <c r="D8" s="84"/>
      <c r="E8" s="84"/>
      <c r="F8" s="84"/>
      <c r="G8" s="84"/>
      <c r="H8" s="84"/>
      <c r="I8" s="84"/>
      <c r="J8" s="84"/>
    </row>
    <row r="9" spans="1:17" ht="27.95" customHeight="1" x14ac:dyDescent="0.2">
      <c r="A9" s="84" t="s">
        <v>17</v>
      </c>
      <c r="B9" s="84"/>
      <c r="C9" s="84"/>
      <c r="D9" s="84"/>
      <c r="E9" s="84"/>
      <c r="F9" s="84"/>
      <c r="G9" s="84"/>
      <c r="H9" s="84"/>
      <c r="I9" s="84"/>
      <c r="J9" s="84"/>
    </row>
    <row r="10" spans="1:17" ht="8.25" customHeight="1" x14ac:dyDescent="0.2"/>
    <row r="11" spans="1:17" ht="35.1" customHeight="1" x14ac:dyDescent="0.2">
      <c r="A11" s="87" t="s">
        <v>11</v>
      </c>
      <c r="B11" s="88"/>
      <c r="C11" s="89" t="str">
        <f>INFORME!C12</f>
        <v>MUNICIPALIDAD DE ZUNILITO, SUCHITEPEQUEZ</v>
      </c>
      <c r="D11" s="90"/>
      <c r="E11" s="90"/>
      <c r="F11" s="90"/>
      <c r="G11" s="90"/>
      <c r="H11" s="90"/>
      <c r="I11" s="90"/>
      <c r="J11" s="90"/>
      <c r="K11" s="91"/>
    </row>
    <row r="12" spans="1:17" ht="35.1" customHeight="1" x14ac:dyDescent="0.2">
      <c r="A12" s="87" t="s">
        <v>52</v>
      </c>
      <c r="B12" s="88"/>
      <c r="C12" s="89" t="str">
        <f>INFORME!C14</f>
        <v>MVC MAURICIO VALDEZ CONSTRUCCIONES</v>
      </c>
      <c r="D12" s="90"/>
      <c r="E12" s="90"/>
      <c r="F12" s="90"/>
      <c r="G12" s="90"/>
      <c r="H12" s="90"/>
      <c r="I12" s="90"/>
      <c r="J12" s="90"/>
      <c r="K12" s="91"/>
    </row>
    <row r="13" spans="1:17" ht="61.5" customHeight="1" x14ac:dyDescent="1.3">
      <c r="A13" s="92" t="s">
        <v>9</v>
      </c>
      <c r="B13" s="93"/>
      <c r="C13" s="94" t="str">
        <f>INFORME!C23</f>
        <v>AMPLIACION SISTEMA DE ALCANTARILLADO SANITARIO SECTOR I, ALDEA SAN LORENCITO, ZUNILITO, SUCHITEPEQUEZ</v>
      </c>
      <c r="D13" s="95"/>
      <c r="E13" s="95"/>
      <c r="F13" s="95"/>
      <c r="G13" s="95"/>
      <c r="H13" s="95"/>
      <c r="I13" s="95"/>
      <c r="J13" s="95"/>
      <c r="K13" s="96"/>
      <c r="N13" s="11"/>
      <c r="O13" s="12"/>
      <c r="P13" s="13"/>
      <c r="Q13" s="14"/>
    </row>
    <row r="14" spans="1:17" ht="35.1" customHeight="1" x14ac:dyDescent="0.2">
      <c r="A14" s="97" t="s">
        <v>10</v>
      </c>
      <c r="B14" s="98"/>
      <c r="C14" s="99" t="s">
        <v>65</v>
      </c>
      <c r="D14" s="100"/>
      <c r="E14" s="100"/>
      <c r="F14" s="100"/>
      <c r="G14" s="100"/>
      <c r="H14" s="100"/>
      <c r="I14" s="100"/>
      <c r="J14" s="100"/>
      <c r="K14" s="101"/>
    </row>
    <row r="15" spans="1:17" ht="35.1" customHeight="1" x14ac:dyDescent="0.2">
      <c r="A15" s="102" t="s">
        <v>36</v>
      </c>
      <c r="B15" s="102"/>
      <c r="C15" s="52" t="s">
        <v>53</v>
      </c>
      <c r="D15" s="49">
        <v>3000</v>
      </c>
      <c r="E15" s="50" t="s">
        <v>12</v>
      </c>
      <c r="F15" s="103" t="s">
        <v>48</v>
      </c>
      <c r="G15" s="104"/>
      <c r="H15" s="103" t="s">
        <v>58</v>
      </c>
      <c r="I15" s="105"/>
      <c r="J15" s="49">
        <v>4060</v>
      </c>
      <c r="K15" s="50" t="s">
        <v>12</v>
      </c>
    </row>
    <row r="16" spans="1:17" ht="35.1" customHeight="1" x14ac:dyDescent="0.2">
      <c r="A16" s="106" t="s">
        <v>28</v>
      </c>
      <c r="B16" s="106"/>
      <c r="C16" s="107">
        <v>45876</v>
      </c>
      <c r="D16" s="108"/>
      <c r="E16" s="109"/>
      <c r="F16" s="110" t="s">
        <v>15</v>
      </c>
      <c r="G16" s="111"/>
      <c r="H16" s="112">
        <f>+C23</f>
        <v>45904</v>
      </c>
      <c r="I16" s="112"/>
      <c r="J16" s="108"/>
      <c r="K16" s="109"/>
    </row>
    <row r="17" spans="1:22" ht="45" hidden="1" customHeight="1" x14ac:dyDescent="0.2">
      <c r="A17" s="113" t="s">
        <v>24</v>
      </c>
      <c r="B17" s="114"/>
      <c r="C17" s="16" t="s">
        <v>26</v>
      </c>
      <c r="D17" s="16" t="s">
        <v>27</v>
      </c>
      <c r="E17" s="115" t="s">
        <v>25</v>
      </c>
      <c r="F17" s="115"/>
      <c r="G17" s="115"/>
      <c r="H17" s="116"/>
      <c r="I17" s="116"/>
      <c r="J17" s="116"/>
      <c r="K17" s="117"/>
    </row>
    <row r="18" spans="1:22" ht="27.95" customHeight="1" x14ac:dyDescent="0.2">
      <c r="A18" s="119" t="s">
        <v>19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1"/>
    </row>
    <row r="19" spans="1:22" ht="52.5" customHeight="1" x14ac:dyDescent="0.2">
      <c r="A19" s="122" t="s">
        <v>1</v>
      </c>
      <c r="B19" s="123" t="s">
        <v>43</v>
      </c>
      <c r="C19" s="123" t="s">
        <v>44</v>
      </c>
      <c r="D19" s="31" t="s">
        <v>3</v>
      </c>
      <c r="E19" s="30" t="s">
        <v>45</v>
      </c>
      <c r="F19" s="30" t="s">
        <v>41</v>
      </c>
      <c r="G19" s="31" t="s">
        <v>4</v>
      </c>
      <c r="H19" s="122" t="s">
        <v>39</v>
      </c>
      <c r="I19" s="123" t="s">
        <v>37</v>
      </c>
      <c r="J19" s="32" t="s">
        <v>5</v>
      </c>
      <c r="K19" s="33" t="s">
        <v>42</v>
      </c>
    </row>
    <row r="20" spans="1:22" ht="39.950000000000003" customHeight="1" x14ac:dyDescent="0.35">
      <c r="A20" s="122"/>
      <c r="B20" s="124"/>
      <c r="C20" s="124"/>
      <c r="D20" s="31" t="s">
        <v>6</v>
      </c>
      <c r="E20" s="31" t="s">
        <v>40</v>
      </c>
      <c r="F20" s="31" t="s">
        <v>14</v>
      </c>
      <c r="G20" s="31" t="s">
        <v>7</v>
      </c>
      <c r="H20" s="122"/>
      <c r="I20" s="124"/>
      <c r="J20" s="31" t="s">
        <v>12</v>
      </c>
      <c r="K20" s="34" t="s">
        <v>13</v>
      </c>
    </row>
    <row r="21" spans="1:22" ht="39.950000000000003" customHeight="1" x14ac:dyDescent="0.4">
      <c r="A21" s="35">
        <v>1</v>
      </c>
      <c r="B21" s="36">
        <f>$C$16</f>
        <v>45876</v>
      </c>
      <c r="C21" s="37">
        <f t="shared" ref="C21:C22" si="0">B21+D21</f>
        <v>45883</v>
      </c>
      <c r="D21" s="38">
        <v>7</v>
      </c>
      <c r="E21" s="39">
        <v>28.6</v>
      </c>
      <c r="F21" s="39">
        <v>5.93</v>
      </c>
      <c r="G21" s="39">
        <v>27.62</v>
      </c>
      <c r="H21" s="35">
        <v>3</v>
      </c>
      <c r="I21" s="40">
        <v>61798</v>
      </c>
      <c r="J21" s="40">
        <f>I21/G21</f>
        <v>2237.4366401158582</v>
      </c>
      <c r="K21" s="53">
        <f>J21/D15</f>
        <v>0.74581221337195269</v>
      </c>
      <c r="M21" s="1" t="s">
        <v>21</v>
      </c>
      <c r="N21" s="1">
        <v>101900</v>
      </c>
      <c r="O21" s="1">
        <v>107350</v>
      </c>
    </row>
    <row r="22" spans="1:22" ht="39.950000000000003" customHeight="1" x14ac:dyDescent="0.4">
      <c r="A22" s="35">
        <v>2</v>
      </c>
      <c r="B22" s="43">
        <f t="shared" ref="B22:B23" si="1">$C$16</f>
        <v>45876</v>
      </c>
      <c r="C22" s="44">
        <f t="shared" si="0"/>
        <v>45890</v>
      </c>
      <c r="D22" s="45">
        <v>14</v>
      </c>
      <c r="E22" s="46">
        <v>28.77</v>
      </c>
      <c r="F22" s="46">
        <v>5.92</v>
      </c>
      <c r="G22" s="46">
        <v>27.53</v>
      </c>
      <c r="H22" s="47">
        <v>5</v>
      </c>
      <c r="I22" s="48">
        <v>75145</v>
      </c>
      <c r="J22" s="40">
        <f t="shared" ref="J22:J23" si="2">I22/G22</f>
        <v>2729.5677442789683</v>
      </c>
      <c r="K22" s="53">
        <f>J22/D15</f>
        <v>0.9098559147596561</v>
      </c>
      <c r="M22" s="1" t="s">
        <v>20</v>
      </c>
      <c r="N22" s="1">
        <v>79500</v>
      </c>
      <c r="O22" s="1">
        <v>84750</v>
      </c>
    </row>
    <row r="23" spans="1:22" ht="39.950000000000003" customHeight="1" x14ac:dyDescent="0.4">
      <c r="A23" s="35">
        <v>3</v>
      </c>
      <c r="B23" s="43">
        <f t="shared" si="1"/>
        <v>45876</v>
      </c>
      <c r="C23" s="44">
        <f>B23+D23</f>
        <v>45904</v>
      </c>
      <c r="D23" s="45">
        <v>28</v>
      </c>
      <c r="E23" s="46">
        <v>29.06</v>
      </c>
      <c r="F23" s="46">
        <v>5.92</v>
      </c>
      <c r="G23" s="46">
        <v>27.53</v>
      </c>
      <c r="H23" s="47">
        <v>2</v>
      </c>
      <c r="I23" s="48">
        <v>87451</v>
      </c>
      <c r="J23" s="40">
        <f t="shared" si="2"/>
        <v>3176.5710134398837</v>
      </c>
      <c r="K23" s="53">
        <f>J23/D15</f>
        <v>1.0588570044799612</v>
      </c>
      <c r="M23" s="1" t="s">
        <v>21</v>
      </c>
      <c r="N23" s="1">
        <v>101900</v>
      </c>
      <c r="O23" s="1">
        <v>107350</v>
      </c>
    </row>
    <row r="24" spans="1:22" ht="18" customHeight="1" x14ac:dyDescent="0.2">
      <c r="A24" s="8"/>
      <c r="B24" s="8"/>
      <c r="C24" s="8"/>
      <c r="D24" s="8"/>
      <c r="E24" s="8"/>
      <c r="F24" s="8"/>
      <c r="G24" s="8"/>
      <c r="H24" s="7"/>
      <c r="I24" s="7"/>
      <c r="J24" s="7"/>
      <c r="K24" s="2"/>
      <c r="N24" s="6"/>
      <c r="O24" s="6"/>
      <c r="P24" s="6"/>
      <c r="Q24" s="6"/>
      <c r="R24" s="6"/>
      <c r="S24" s="6"/>
      <c r="T24" s="6"/>
      <c r="U24" s="6"/>
      <c r="V24" s="6"/>
    </row>
    <row r="25" spans="1:22" ht="18" customHeight="1" x14ac:dyDescent="0.2">
      <c r="A25" s="125" t="s">
        <v>0</v>
      </c>
      <c r="B25" s="125"/>
      <c r="C25" s="126" t="s">
        <v>49</v>
      </c>
      <c r="D25" s="126"/>
      <c r="E25" s="126"/>
      <c r="F25" s="126"/>
      <c r="G25" s="126"/>
      <c r="H25" s="126"/>
      <c r="I25" s="126"/>
      <c r="J25" s="126"/>
      <c r="K25" s="126"/>
      <c r="N25" s="6"/>
      <c r="O25" s="6"/>
      <c r="P25" s="6"/>
      <c r="Q25" s="6"/>
      <c r="R25" s="6"/>
      <c r="S25" s="6"/>
      <c r="T25" s="6"/>
      <c r="U25" s="6"/>
      <c r="V25" s="6"/>
    </row>
    <row r="26" spans="1:22" ht="18" customHeight="1" x14ac:dyDescent="0.2">
      <c r="B26" s="6"/>
      <c r="C26" s="126"/>
      <c r="D26" s="126"/>
      <c r="E26" s="126"/>
      <c r="F26" s="126"/>
      <c r="G26" s="126"/>
      <c r="H26" s="126"/>
      <c r="I26" s="126"/>
      <c r="J26" s="126"/>
      <c r="K26" s="126"/>
    </row>
    <row r="27" spans="1:22" ht="18" customHeight="1" x14ac:dyDescent="0.2">
      <c r="A27" s="4"/>
      <c r="B27" s="6"/>
      <c r="C27" s="126"/>
      <c r="D27" s="126"/>
      <c r="E27" s="126"/>
      <c r="F27" s="126"/>
      <c r="G27" s="126"/>
      <c r="H27" s="126"/>
      <c r="I27" s="126"/>
      <c r="J27" s="126"/>
      <c r="K27" s="126"/>
    </row>
    <row r="28" spans="1:22" ht="18" customHeight="1" x14ac:dyDescent="0.2">
      <c r="A28" s="4"/>
      <c r="B28" s="6"/>
      <c r="C28" s="54"/>
      <c r="D28" s="54"/>
      <c r="E28" s="54"/>
      <c r="F28" s="54"/>
      <c r="G28" s="54"/>
      <c r="H28" s="54"/>
      <c r="I28" s="54"/>
      <c r="J28" s="54"/>
      <c r="K28" s="54"/>
    </row>
    <row r="29" spans="1:22" ht="18" customHeight="1" x14ac:dyDescent="0.2">
      <c r="A29" s="4"/>
      <c r="B29" s="6"/>
      <c r="C29" s="54"/>
      <c r="D29" s="54"/>
      <c r="E29" s="54"/>
      <c r="F29" s="54"/>
      <c r="G29" s="54"/>
      <c r="H29" s="54"/>
      <c r="I29" s="54"/>
      <c r="J29" s="54"/>
      <c r="K29" s="54"/>
    </row>
    <row r="30" spans="1:22" ht="18" customHeight="1" x14ac:dyDescent="0.2">
      <c r="A30" s="4"/>
      <c r="B30" s="6"/>
      <c r="C30" s="54"/>
      <c r="D30" s="54"/>
      <c r="E30" s="54"/>
      <c r="F30" s="54"/>
      <c r="G30" s="54"/>
      <c r="H30" s="54"/>
      <c r="I30" s="54"/>
      <c r="J30" s="54"/>
      <c r="K30" s="54"/>
    </row>
    <row r="31" spans="1:22" ht="18" customHeight="1" x14ac:dyDescent="0.2">
      <c r="A31" s="4"/>
      <c r="B31" s="6"/>
      <c r="C31" s="54"/>
      <c r="D31" s="54"/>
      <c r="E31" s="54"/>
      <c r="F31" s="54"/>
      <c r="G31" s="54"/>
      <c r="H31" s="54"/>
      <c r="I31" s="54"/>
      <c r="J31" s="54"/>
      <c r="K31" s="54"/>
    </row>
    <row r="32" spans="1:22" ht="18" customHeight="1" x14ac:dyDescent="0.2">
      <c r="A32" s="4"/>
      <c r="B32" s="6"/>
      <c r="C32" s="10"/>
      <c r="D32" s="10"/>
      <c r="E32" s="10"/>
      <c r="F32" s="10"/>
      <c r="G32" s="10"/>
      <c r="H32" s="10"/>
      <c r="I32" s="10"/>
      <c r="J32" s="10"/>
      <c r="K32" s="10"/>
    </row>
    <row r="33" spans="1:11" ht="15.95" customHeight="1" x14ac:dyDescent="0.2">
      <c r="A33" s="4"/>
      <c r="B33" s="4"/>
      <c r="C33" s="4"/>
      <c r="D33" s="4"/>
      <c r="E33" s="4"/>
      <c r="F33" s="4"/>
      <c r="G33" s="4"/>
      <c r="H33" s="3"/>
      <c r="I33" s="3"/>
      <c r="J33" s="3"/>
    </row>
    <row r="34" spans="1:11" ht="15.95" customHeight="1" x14ac:dyDescent="0.2">
      <c r="A34" s="4"/>
      <c r="B34" s="4"/>
      <c r="C34" s="4"/>
      <c r="D34" s="4"/>
      <c r="E34" s="4"/>
      <c r="F34" s="4"/>
      <c r="G34" s="4"/>
      <c r="H34" s="3"/>
      <c r="I34" s="3"/>
      <c r="J34" s="3"/>
    </row>
    <row r="35" spans="1:11" ht="15.95" customHeight="1" x14ac:dyDescent="0.2">
      <c r="A35" s="4"/>
      <c r="B35" s="4"/>
      <c r="C35" s="4"/>
      <c r="D35" s="4"/>
      <c r="E35" s="4"/>
      <c r="F35" s="4"/>
      <c r="G35" s="4"/>
      <c r="H35" s="3"/>
      <c r="I35" s="3"/>
      <c r="J35" s="3"/>
    </row>
    <row r="36" spans="1:11" ht="15.95" customHeight="1" x14ac:dyDescent="0.3">
      <c r="A36" s="127"/>
      <c r="B36" s="127"/>
      <c r="C36" s="5"/>
      <c r="D36" s="5"/>
      <c r="E36" s="5"/>
      <c r="F36" s="5"/>
      <c r="G36" s="5"/>
    </row>
    <row r="37" spans="1:11" ht="27.75" customHeight="1" x14ac:dyDescent="0.35">
      <c r="A37" s="128" t="s">
        <v>22</v>
      </c>
      <c r="B37" s="128"/>
      <c r="C37" s="128"/>
      <c r="D37" s="9"/>
      <c r="E37" s="9"/>
      <c r="F37" s="9"/>
      <c r="G37" s="15"/>
      <c r="J37" s="128" t="s">
        <v>18</v>
      </c>
      <c r="K37" s="128"/>
    </row>
    <row r="38" spans="1:11" ht="24" customHeight="1" x14ac:dyDescent="0.35">
      <c r="A38" s="118" t="s">
        <v>23</v>
      </c>
      <c r="B38" s="118"/>
      <c r="C38" s="118"/>
      <c r="D38" s="9"/>
      <c r="E38" s="9"/>
      <c r="F38" s="9"/>
      <c r="G38" s="9"/>
      <c r="H38" s="9"/>
      <c r="I38" s="9"/>
      <c r="J38" s="9"/>
      <c r="K38" s="9"/>
    </row>
    <row r="39" spans="1:11" ht="15" customHeight="1" x14ac:dyDescent="0.2"/>
  </sheetData>
  <mergeCells count="36">
    <mergeCell ref="A38:C38"/>
    <mergeCell ref="A18:K18"/>
    <mergeCell ref="A19:A20"/>
    <mergeCell ref="B19:B20"/>
    <mergeCell ref="C19:C20"/>
    <mergeCell ref="H19:H20"/>
    <mergeCell ref="I19:I20"/>
    <mergeCell ref="A25:B25"/>
    <mergeCell ref="C25:K27"/>
    <mergeCell ref="A36:B36"/>
    <mergeCell ref="A37:C37"/>
    <mergeCell ref="J37:K37"/>
    <mergeCell ref="A16:B16"/>
    <mergeCell ref="C16:E16"/>
    <mergeCell ref="F16:G16"/>
    <mergeCell ref="H16:K16"/>
    <mergeCell ref="A17:B17"/>
    <mergeCell ref="E17:G17"/>
    <mergeCell ref="H17:K17"/>
    <mergeCell ref="A13:B13"/>
    <mergeCell ref="C13:K13"/>
    <mergeCell ref="A14:B14"/>
    <mergeCell ref="C14:K14"/>
    <mergeCell ref="A15:B15"/>
    <mergeCell ref="F15:G15"/>
    <mergeCell ref="H15:I15"/>
    <mergeCell ref="A11:B11"/>
    <mergeCell ref="C11:K11"/>
    <mergeCell ref="A12:B12"/>
    <mergeCell ref="C12:K12"/>
    <mergeCell ref="A9:J9"/>
    <mergeCell ref="A1:J2"/>
    <mergeCell ref="A4:J4"/>
    <mergeCell ref="A6:J6"/>
    <mergeCell ref="A7:J7"/>
    <mergeCell ref="A8:J8"/>
  </mergeCells>
  <printOptions horizontalCentered="1" verticalCentered="1"/>
  <pageMargins left="0.39370078740157483" right="0.39370078740157483" top="0.59055118110236227" bottom="0.39370078740157483" header="0.31496062992125984" footer="0.31496062992125984"/>
  <pageSetup scale="55" orientation="landscape" horizontalDpi="360" verticalDpi="360" r:id="rId1"/>
  <headerFooter scaleWithDoc="0">
    <oddFooter>&amp;C_________________________________________________________________________________________________
1a. Avenida 8-34 Residenciales Joya de Palencia, Palencia, Guatemala. Tels.: 5473-3871/4020-2271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Button 1">
              <controlPr defaultSize="0" print="0" autoFill="0" autoPict="0" macro="[14]!Cilindros">
                <anchor moveWithCells="1">
                  <from>
                    <xdr:col>12</xdr:col>
                    <xdr:colOff>219075</xdr:colOff>
                    <xdr:row>10</xdr:row>
                    <xdr:rowOff>180975</xdr:rowOff>
                  </from>
                  <to>
                    <xdr:col>14</xdr:col>
                    <xdr:colOff>95250</xdr:colOff>
                    <xdr:row>11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INFORME</vt:lpstr>
      <vt:lpstr>CONEXIOINES</vt:lpstr>
      <vt:lpstr>RODADURA</vt:lpstr>
      <vt:lpstr>POZO</vt:lpstr>
      <vt:lpstr>GRADAS</vt:lpstr>
      <vt:lpstr>CONEXIOINES!Área_de_impresión</vt:lpstr>
      <vt:lpstr>GRADAS!Área_de_impresión</vt:lpstr>
      <vt:lpstr>INFORME!Área_de_impresión</vt:lpstr>
      <vt:lpstr>POZO!Área_de_impresión</vt:lpstr>
      <vt:lpstr>RODADURA!Área_de_impresión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 VICENTE</dc:creator>
  <cp:lastModifiedBy>Fernando Vicente</cp:lastModifiedBy>
  <cp:lastPrinted>2025-10-07T20:47:25Z</cp:lastPrinted>
  <dcterms:created xsi:type="dcterms:W3CDTF">2012-10-27T03:42:28Z</dcterms:created>
  <dcterms:modified xsi:type="dcterms:W3CDTF">2025-10-07T21:24:19Z</dcterms:modified>
</cp:coreProperties>
</file>